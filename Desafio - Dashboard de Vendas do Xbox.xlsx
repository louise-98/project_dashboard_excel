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05a749971503f8/Documentos/Curso - DIO - Bootcamp Klabin - Excel e Power BI Dashboards/03 - Análise de Dados com Excel e Copilot/"/>
    </mc:Choice>
  </mc:AlternateContent>
  <xr:revisionPtr revIDLastSave="702" documentId="13_ncr:1_{3C2F8ED6-40B2-4E08-832A-7140AC03FA60}" xr6:coauthVersionLast="47" xr6:coauthVersionMax="47" xr10:uidLastSave="{C330EE36-6AF1-4D11-B0D8-B704432BC298}"/>
  <bookViews>
    <workbookView xWindow="-110" yWindow="-110" windowWidth="22620" windowHeight="1422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3" l="1"/>
  <c r="H21" i="3"/>
</calcChain>
</file>

<file path=xl/sharedStrings.xml><?xml version="1.0" encoding="utf-8"?>
<sst xmlns="http://schemas.openxmlformats.org/spreadsheetml/2006/main" count="2039" uniqueCount="339">
  <si>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</si>
  <si>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</si>
  <si>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</si>
  <si>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</si>
  <si>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</si>
  <si>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</si>
  <si>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</si>
  <si>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</si>
  <si>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</si>
  <si>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</si>
  <si>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</si>
  <si>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</si>
  <si>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</si>
  <si>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</si>
  <si>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</si>
  <si>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</si>
  <si>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</si>
  <si>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</si>
  <si>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</si>
  <si>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</si>
  <si>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</si>
  <si>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</si>
  <si>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</si>
  <si>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</si>
  <si>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</si>
  <si>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</si>
  <si>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</si>
  <si>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</si>
  <si>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</si>
  <si>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</si>
  <si>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</si>
  <si>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</si>
  <si>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</si>
  <si>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</si>
  <si>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</si>
  <si>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</si>
  <si>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</si>
  <si>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</si>
  <si>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</si>
  <si>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</si>
  <si>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</si>
  <si>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</si>
  <si>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</si>
  <si>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</si>
  <si>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</si>
  <si>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</si>
  <si>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</si>
  <si>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</si>
  <si>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</si>
  <si>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</si>
  <si>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</si>
  <si>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</si>
  <si>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</si>
  <si>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</si>
  <si>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</si>
  <si>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</si>
  <si>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</si>
  <si>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</si>
  <si>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</si>
  <si>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</si>
  <si>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</si>
  <si>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</si>
  <si>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</si>
  <si>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</si>
  <si>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</si>
  <si>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</si>
  <si>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</si>
  <si>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</si>
  <si>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</si>
  <si>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</si>
  <si>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</si>
  <si>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</si>
  <si>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</si>
  <si>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</si>
  <si>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</si>
  <si>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</si>
  <si>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</si>
  <si>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</si>
  <si>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</si>
  <si>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</si>
  <si>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</si>
  <si>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</si>
  <si>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</si>
  <si>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</si>
  <si>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</si>
  <si>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</si>
  <si>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</si>
  <si>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</si>
  <si>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</si>
  <si>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</si>
  <si>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</si>
  <si>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</si>
  <si>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</si>
  <si>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</si>
  <si>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</si>
  <si>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</si>
  <si>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</si>
  <si>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</si>
  <si>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</si>
  <si>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</si>
  <si>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</si>
  <si>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</si>
  <si>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</si>
  <si>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</si>
  <si>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</si>
  <si>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</si>
  <si>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</si>
  <si>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</si>
  <si>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</si>
  <si>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</si>
  <si>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</si>
  <si>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</si>
  <si>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</si>
  <si>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</si>
  <si>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</si>
  <si>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</si>
  <si>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</si>
  <si>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</si>
  <si>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</si>
  <si>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</si>
  <si>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</si>
  <si>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</si>
  <si>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</si>
  <si>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</si>
  <si>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</si>
  <si>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</si>
  <si>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</si>
  <si>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</si>
  <si>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</si>
  <si>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</si>
  <si>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</si>
  <si>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</si>
  <si>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</si>
  <si>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</si>
  <si>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</si>
  <si>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</si>
  <si>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</si>
  <si>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</si>
  <si>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</si>
  <si>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</si>
  <si>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</si>
  <si>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</si>
  <si>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</si>
  <si>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</si>
  <si>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</si>
  <si>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</si>
  <si>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</si>
  <si>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</si>
  <si>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</si>
  <si>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</si>
  <si>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</si>
  <si>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</si>
  <si>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</si>
  <si>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</si>
  <si>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</si>
  <si>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</si>
  <si>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</si>
  <si>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</si>
  <si>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</si>
  <si>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</si>
  <si>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</si>
  <si>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</si>
  <si>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</si>
  <si>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</si>
  <si>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</si>
  <si>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</si>
  <si>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</si>
  <si>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</si>
  <si>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</si>
  <si>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</si>
  <si>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</si>
  <si>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</si>
  <si>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</si>
  <si>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</si>
  <si>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</si>
  <si>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</si>
  <si>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</si>
  <si>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</si>
  <si>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</si>
  <si>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</si>
  <si>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</si>
  <si>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</si>
  <si>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</si>
  <si>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</si>
  <si>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</si>
  <si>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</si>
  <si>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</si>
  <si>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</si>
  <si>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</si>
  <si>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</si>
  <si>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</si>
  <si>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</si>
  <si>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</si>
  <si>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</si>
  <si>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</si>
  <si>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</si>
  <si>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</si>
  <si>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</si>
  <si>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</si>
  <si>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</si>
  <si>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</si>
  <si>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</si>
  <si>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</si>
  <si>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</si>
  <si>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</si>
  <si>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</si>
  <si>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</si>
  <si>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</si>
  <si>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</si>
  <si>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</si>
  <si>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</si>
  <si>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</si>
  <si>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</si>
  <si>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</si>
  <si>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</si>
  <si>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</si>
  <si>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</si>
  <si>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</si>
  <si>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</si>
  <si>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</si>
  <si>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</si>
  <si>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</si>
  <si>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</si>
  <si>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</si>
  <si>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</si>
  <si>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</si>
  <si>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</si>
  <si>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</si>
  <si>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</si>
  <si>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</si>
  <si>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</si>
  <si>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</si>
  <si>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</si>
  <si>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</si>
  <si>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</si>
  <si>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</si>
  <si>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</si>
  <si>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</si>
  <si>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</si>
  <si>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</si>
  <si>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</si>
  <si>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</si>
  <si>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</si>
  <si>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</si>
  <si>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</si>
  <si>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</si>
  <si>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</si>
  <si>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</si>
  <si>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</si>
  <si>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</si>
  <si>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</si>
  <si>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</si>
  <si>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</si>
  <si>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</si>
  <si>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</si>
  <si>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</si>
  <si>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</si>
  <si>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</si>
  <si>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</si>
  <si>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</si>
  <si>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</si>
  <si>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</si>
  <si>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</si>
  <si>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</si>
  <si>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</si>
  <si>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</si>
  <si>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</si>
  <si>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</si>
  <si>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</si>
  <si>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</si>
  <si>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</si>
  <si>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</si>
  <si>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</si>
  <si>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</si>
  <si>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</si>
  <si>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</si>
  <si>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</si>
  <si>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</si>
  <si>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</si>
  <si>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</si>
  <si>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</si>
  <si>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</si>
  <si>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</si>
  <si>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</si>
  <si>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</si>
  <si>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</si>
  <si>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</si>
  <si>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</si>
  <si>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</si>
  <si>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</si>
  <si>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</si>
  <si>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</si>
  <si>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</si>
  <si>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</si>
  <si>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</si>
  <si>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</si>
  <si>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</si>
  <si>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</si>
  <si>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</si>
  <si>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</si>
  <si>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</si>
  <si>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</si>
  <si>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</si>
  <si>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</si>
  <si>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</si>
  <si>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</si>
  <si>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</si>
  <si>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</si>
  <si>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</si>
  <si>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</si>
  <si>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</si>
  <si>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</si>
  <si>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</si>
  <si>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OBS.: Uma informação é uma pergunta de negócio respondida através de alguma análise de dados específica.</t>
  </si>
  <si>
    <t>PERGUNTAS:</t>
  </si>
  <si>
    <t>Qual o faturamento total de vendas de planos anuais (contendo as assinaturas agregadas)?</t>
  </si>
  <si>
    <t>Qual o faturamento total de vendas de planos anuais, separado por auto renovação (sim ou não)?</t>
  </si>
  <si>
    <t>Total de vendas de assinaturas do EA Play</t>
  </si>
  <si>
    <t>Total de vendas de assinaturas do Minecraft Season Pass</t>
  </si>
  <si>
    <t>Quantos inscritos por mês?</t>
  </si>
  <si>
    <t>Soma de Total Value</t>
  </si>
  <si>
    <t>Total Geral</t>
  </si>
  <si>
    <t>Rótulos de Linha</t>
  </si>
  <si>
    <t>1 e 2</t>
  </si>
  <si>
    <t>Soma de EA Play Season Pass</t>
  </si>
  <si>
    <t>RESPOSTAS:</t>
  </si>
  <si>
    <t>Soma de Minecraft Season Pass Price</t>
  </si>
  <si>
    <t>Contagem de Subscriber ID</t>
  </si>
  <si>
    <t>jan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</si>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</sst>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R$&quot;\ #,##0.00;\-&quot;R$&quot;\ #,##0.00"/>
    <numFmt numFmtId="44" formatCode="_-&quot;R$&quot;\ * #,##0.00_-;\-&quot;R$&quot;\ * #,##0.00_-;_-&quot;R$&quot;\ * &quot;-&quot;??_-;_-@_-"/>
    <numFmt numFmtId="164" formatCode="&quot;R$&quot;\ #,##0.00"/>
  </numFmts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0" fillId="9" borderId="0" xfId="0" applyFill="1"/>
    <xf numFmtId="0" fontId="0" fillId="0" borderId="2" xfId="0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3" fillId="0" borderId="0" xfId="0" applyFont="1"/>
    <xf numFmtId="7" fontId="0" fillId="0" borderId="0" xfId="0" applyNumberFormat="1"/>
    <xf numFmtId="164" fontId="3" fillId="0" borderId="0" xfId="0" applyNumberFormat="1" applyFont="1"/>
    <xf numFmtId="0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9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z val="14"/>
        <color theme="0"/>
      </font>
      <fill>
        <patternFill patternType="solid">
          <fgColor rgb="FF22C55E"/>
          <bgColor rgb="FF22C55E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4"/>
        <color theme="0"/>
      </font>
      <fill>
        <patternFill patternType="solid">
          <fgColor rgb="FF22C55E"/>
          <bgColor rgb="FF22C55E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</dxf>
    <dxf>
      <font>
        <b/>
        <i val="0"/>
        <sz val="14"/>
        <color theme="0"/>
      </font>
      <fill>
        <patternFill patternType="none">
          <bgColor auto="1"/>
        </patternFill>
      </fill>
    </dxf>
    <dxf>
      <font>
        <b/>
        <i val="0"/>
        <sz val="14"/>
        <color theme="1" tint="0.34998626667073579"/>
      </font>
      <fill>
        <patternFill patternType="solid">
          <bgColor rgb="FF22C55E"/>
        </patternFill>
      </fill>
    </dxf>
  </dxfs>
  <tableStyles count="3" defaultTableStyle="TableStyleMedium2" defaultPivotStyle="PivotStyleLight16">
    <tableStyle name="Estilo de Segmentação de Dados 1" pivot="0" table="0" count="10" xr9:uid="{3FF43A5D-890E-42F4-B2E5-95559196759A}">
      <tableStyleElement type="wholeTable" dxfId="18"/>
      <tableStyleElement type="headerRow" dxfId="17"/>
    </tableStyle>
    <tableStyle name="Estilo de Segmentação de Dados 2" pivot="0" table="0" count="1" xr9:uid="{3471BD1B-98C2-4486-B5E3-3D0E667EB926}">
      <tableStyleElement type="headerRow" dxfId="16"/>
    </tableStyle>
    <tableStyle name="SlicerStyleLight3 2" pivot="0" table="0" count="10" xr9:uid="{B376A520-C685-4BFF-A846-561019E6484B}">
      <tableStyleElement type="wholeTable" dxfId="15"/>
      <tableStyleElement type="headerRow" dxfId="14"/>
    </tableStyle>
  </tableStyles>
  <colors>
    <mruColors>
      <color rgb="FF22C55E"/>
      <color rgb="FFB5E6A2"/>
      <color rgb="FFFCF3BC"/>
      <color rgb="FFF8E162"/>
      <color rgb="FFE8E6E9"/>
      <color rgb="FF5BF6A8"/>
      <color rgb="FF000000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sz val="14"/>
            <color theme="1" tint="0.34998626667073579"/>
          </font>
          <fill>
            <gradientFill degree="90">
              <stop position="0">
                <color rgb="FFF8E162"/>
              </stop>
              <stop position="1">
                <color rgb="FFF8E162"/>
              </stop>
            </gradientFill>
          </fill>
        </dxf>
        <dxf>
          <font>
            <b/>
            <i val="0"/>
            <sz val="14"/>
            <color theme="1" tint="0.34998626667073579"/>
          </font>
          <fill>
            <gradientFill degree="90">
              <stop position="0">
                <color rgb="FFF8E162"/>
              </stop>
              <stop position="1">
                <color rgb="FFFCF3BC"/>
              </stop>
            </gradientFill>
          </fill>
        </dxf>
        <dxf>
          <font>
            <b/>
            <i val="0"/>
            <sz val="14"/>
            <color auto="1"/>
          </font>
          <fill>
            <gradientFill degree="90">
              <stop position="0">
                <color rgb="FFF8E162"/>
              </stop>
              <stop position="1">
                <color rgb="FFFCF3BC"/>
              </stop>
            </gradientFill>
          </fill>
        </dxf>
        <dxf>
          <font>
            <b/>
            <i val="0"/>
            <sz val="14"/>
            <color theme="1" tint="0.34998626667073579"/>
          </font>
          <fill>
            <gradientFill degree="90">
              <stop position="0">
                <color rgb="FFF8E162"/>
              </stop>
              <stop position="1">
                <color rgb="FFFCF3BC"/>
              </stop>
            </gradientFill>
          </fill>
        </dxf>
        <dxf>
          <font>
            <sz val="14"/>
            <color theme="1" tint="0.34998626667073579"/>
          </font>
          <fill>
            <patternFill>
              <fgColor rgb="FFB5E6A2"/>
            </patternFill>
          </fill>
        </dxf>
        <dxf>
          <font>
            <sz val="14"/>
            <color theme="1" tint="0.34998626667073579"/>
          </font>
          <fill>
            <patternFill>
              <fgColor rgb="FFB5E6A2"/>
            </patternFill>
          </fill>
        </dxf>
        <dxf>
          <font>
            <sz val="14"/>
            <color theme="1" tint="0.34998626667073579"/>
          </font>
          <fill>
            <patternFill>
              <fgColor theme="0"/>
            </patternFill>
          </fill>
        </dxf>
        <dxf>
          <font>
            <sz val="14"/>
            <color theme="1" tint="0.34998626667073579"/>
          </font>
          <fill>
            <patternFill>
              <fgColor theme="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Estilo de Segmentação de Dados 2"/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 - Dashboard de Vendas do Xbox.xlsx]C̳álculos!Tabela dinâmica1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CFF-42B3-9F6B-876AC36A442C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CFF-42B3-9F6B-876AC36A442C}"/>
              </c:ext>
            </c:extLst>
          </c:dPt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CFF-42B3-9F6B-876AC36A442C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CFF-42B3-9F6B-876AC36A44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C̳álculos!$C$17:$C$19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C̳álculos!$D$17:$D$19</c:f>
              <c:numCache>
                <c:formatCode>"R$"\ #,##0.00</c:formatCode>
                <c:ptCount val="2"/>
                <c:pt idx="0">
                  <c:v>217</c:v>
                </c:pt>
                <c:pt idx="1">
                  <c:v>1522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FF-42B3-9F6B-876AC36A4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67620208"/>
        <c:axId val="1167613488"/>
      </c:barChart>
      <c:catAx>
        <c:axId val="11676202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7613488"/>
        <c:crosses val="autoZero"/>
        <c:auto val="1"/>
        <c:lblAlgn val="ctr"/>
        <c:lblOffset val="100"/>
        <c:noMultiLvlLbl val="0"/>
      </c:catAx>
      <c:valAx>
        <c:axId val="1167613488"/>
        <c:scaling>
          <c:orientation val="minMax"/>
        </c:scaling>
        <c:delete val="1"/>
        <c:axPos val="b"/>
        <c:numFmt formatCode="&quot;R$&quot;\ #,##0.00" sourceLinked="1"/>
        <c:majorTickMark val="out"/>
        <c:minorTickMark val="none"/>
        <c:tickLblPos val="nextTo"/>
        <c:crossAx val="1167620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 - Dashboard de Vendas do Xbox.xlsx]C̳álculos!Tabela dinâmica7</c:name>
    <c:fmtId val="4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C̳álculos!$H$23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C̳álculos!$G$24:$G$35</c:f>
              <c:strCache>
                <c:ptCount val="11"/>
                <c:pt idx="0">
                  <c:v>jan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f>C̳álculos!$H$24:$H$35</c:f>
              <c:numCache>
                <c:formatCode>General</c:formatCode>
                <c:ptCount val="11"/>
                <c:pt idx="0">
                  <c:v>1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8</c:v>
                </c:pt>
                <c:pt idx="7">
                  <c:v>7</c:v>
                </c:pt>
                <c:pt idx="8">
                  <c:v>8</c:v>
                </c:pt>
                <c:pt idx="9">
                  <c:v>7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5A-4E38-BC37-038E8F8B445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443833056"/>
        <c:axId val="1443834016"/>
      </c:areaChart>
      <c:catAx>
        <c:axId val="1443833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3834016"/>
        <c:crosses val="autoZero"/>
        <c:auto val="1"/>
        <c:lblAlgn val="ctr"/>
        <c:lblOffset val="100"/>
        <c:noMultiLvlLbl val="0"/>
      </c:catAx>
      <c:valAx>
        <c:axId val="14438340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4383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svg"/><Relationship Id="rId3" Type="http://schemas.openxmlformats.org/officeDocument/2006/relationships/chart" Target="../charts/chart1.xml"/><Relationship Id="rId7" Type="http://schemas.openxmlformats.org/officeDocument/2006/relationships/image" Target="../media/image9.png"/><Relationship Id="rId2" Type="http://schemas.openxmlformats.org/officeDocument/2006/relationships/image" Target="../media/image5.png"/><Relationship Id="rId1" Type="http://schemas.openxmlformats.org/officeDocument/2006/relationships/image" Target="../media/image2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38749"/>
          <a:ext cx="1549476" cy="7270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12</xdr:col>
      <xdr:colOff>25400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14</xdr:col>
      <xdr:colOff>95250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2766448</xdr:colOff>
      <xdr:row>0</xdr:row>
      <xdr:rowOff>155175</xdr:rowOff>
    </xdr:from>
    <xdr:to>
      <xdr:col>2</xdr:col>
      <xdr:colOff>596119</xdr:colOff>
      <xdr:row>2</xdr:row>
      <xdr:rowOff>337737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55DF70C-05D3-4FEE-BE1A-EFBD0D8F93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76" t="20835" r="73045" b="23067"/>
        <a:stretch>
          <a:fillRect/>
        </a:stretch>
      </xdr:blipFill>
      <xdr:spPr>
        <a:xfrm>
          <a:off x="2766448" y="155175"/>
          <a:ext cx="859528" cy="862919"/>
        </a:xfrm>
        <a:prstGeom prst="rect">
          <a:avLst/>
        </a:prstGeom>
      </xdr:spPr>
    </xdr:pic>
    <xdr:clientData/>
  </xdr:twoCellAnchor>
  <xdr:twoCellAnchor editAs="absolute">
    <xdr:from>
      <xdr:col>0</xdr:col>
      <xdr:colOff>238127</xdr:colOff>
      <xdr:row>0</xdr:row>
      <xdr:rowOff>79380</xdr:rowOff>
    </xdr:from>
    <xdr:to>
      <xdr:col>0</xdr:col>
      <xdr:colOff>2571751</xdr:colOff>
      <xdr:row>2</xdr:row>
      <xdr:rowOff>142875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2DEF78EA-C5B9-CAE1-A683-05F782E59894}"/>
            </a:ext>
          </a:extLst>
        </xdr:cNvPr>
        <xdr:cNvGrpSpPr>
          <a:grpSpLocks noChangeAspect="1"/>
        </xdr:cNvGrpSpPr>
      </xdr:nvGrpSpPr>
      <xdr:grpSpPr>
        <a:xfrm>
          <a:off x="238127" y="79380"/>
          <a:ext cx="2333624" cy="743852"/>
          <a:chOff x="134940" y="79380"/>
          <a:chExt cx="2333624" cy="738183"/>
        </a:xfrm>
      </xdr:grpSpPr>
      <xdr:sp macro="" textlink="">
        <xdr:nvSpPr>
          <xdr:cNvPr id="3" name="Elipse 2">
            <a:extLst>
              <a:ext uri="{FF2B5EF4-FFF2-40B4-BE49-F238E27FC236}">
                <a16:creationId xmlns:a16="http://schemas.microsoft.com/office/drawing/2014/main" id="{7F761EAD-C71B-4996-A796-98BE380FF3C2}"/>
              </a:ext>
            </a:extLst>
          </xdr:cNvPr>
          <xdr:cNvSpPr/>
        </xdr:nvSpPr>
        <xdr:spPr>
          <a:xfrm>
            <a:off x="134940" y="79380"/>
            <a:ext cx="769938" cy="738183"/>
          </a:xfrm>
          <a:prstGeom prst="ellipse">
            <a:avLst/>
          </a:prstGeom>
          <a:blipFill>
            <a:blip xmlns:r="http://schemas.openxmlformats.org/officeDocument/2006/relationships" r:embed="rId2"/>
            <a:stretch>
              <a:fillRect/>
            </a:stretch>
          </a:blipFill>
          <a:ln w="38100"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4" name="CaixaDeTexto 3">
            <a:extLst>
              <a:ext uri="{FF2B5EF4-FFF2-40B4-BE49-F238E27FC236}">
                <a16:creationId xmlns:a16="http://schemas.microsoft.com/office/drawing/2014/main" id="{AC713C8F-DBAC-9256-0A9F-C9C248250EF6}"/>
              </a:ext>
            </a:extLst>
          </xdr:cNvPr>
          <xdr:cNvSpPr txBox="1"/>
        </xdr:nvSpPr>
        <xdr:spPr>
          <a:xfrm>
            <a:off x="904880" y="182562"/>
            <a:ext cx="1563684" cy="5933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pt-BR" sz="1600" b="1">
                <a:solidFill>
                  <a:schemeClr val="bg1"/>
                </a:solidFill>
              </a:rPr>
              <a:t>Olá Luara,</a:t>
            </a:r>
          </a:p>
          <a:p>
            <a:r>
              <a:rPr lang="pt-BR" sz="1600" b="1">
                <a:solidFill>
                  <a:schemeClr val="bg1"/>
                </a:solidFill>
              </a:rPr>
              <a:t>Seja</a:t>
            </a:r>
            <a:r>
              <a:rPr lang="pt-BR" sz="1600" b="1" baseline="0">
                <a:solidFill>
                  <a:schemeClr val="bg1"/>
                </a:solidFill>
              </a:rPr>
              <a:t> bem-vinda!</a:t>
            </a:r>
            <a:endParaRPr lang="pt-BR" sz="16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2</xdr:col>
      <xdr:colOff>515938</xdr:colOff>
      <xdr:row>1</xdr:row>
      <xdr:rowOff>0</xdr:rowOff>
    </xdr:from>
    <xdr:to>
      <xdr:col>15</xdr:col>
      <xdr:colOff>603250</xdr:colOff>
      <xdr:row>2</xdr:row>
      <xdr:rowOff>102049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40D1646C-7001-4D41-88DC-C3164A15766A}"/>
            </a:ext>
          </a:extLst>
        </xdr:cNvPr>
        <xdr:cNvSpPr txBox="1"/>
      </xdr:nvSpPr>
      <xdr:spPr>
        <a:xfrm>
          <a:off x="3545795" y="181429"/>
          <a:ext cx="7834312" cy="6009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3200" b="1">
              <a:solidFill>
                <a:srgbClr val="00B050"/>
              </a:solidFill>
            </a:rPr>
            <a:t>XBOX | DASHBOARD</a:t>
          </a:r>
          <a:r>
            <a:rPr lang="pt-BR" sz="3200" b="1" baseline="0">
              <a:solidFill>
                <a:srgbClr val="00B050"/>
              </a:solidFill>
            </a:rPr>
            <a:t> DE VENDAS</a:t>
          </a:r>
          <a:endParaRPr lang="pt-BR" sz="20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238125</xdr:colOff>
      <xdr:row>4</xdr:row>
      <xdr:rowOff>0</xdr:rowOff>
    </xdr:from>
    <xdr:to>
      <xdr:col>0</xdr:col>
      <xdr:colOff>2492375</xdr:colOff>
      <xdr:row>10</xdr:row>
      <xdr:rowOff>55562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DFA64010-984A-4370-8C76-EE9712B7F6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125" y="1111250"/>
              <a:ext cx="2254250" cy="13890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oneCellAnchor>
    <xdr:from>
      <xdr:col>2</xdr:col>
      <xdr:colOff>515938</xdr:colOff>
      <xdr:row>2</xdr:row>
      <xdr:rowOff>29182</xdr:rowOff>
    </xdr:from>
    <xdr:ext cx="5097293" cy="280205"/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6D57949D-7882-8BB0-1409-91619C2D8F1D}"/>
            </a:ext>
          </a:extLst>
        </xdr:cNvPr>
        <xdr:cNvSpPr txBox="1"/>
      </xdr:nvSpPr>
      <xdr:spPr>
        <a:xfrm>
          <a:off x="3545795" y="709539"/>
          <a:ext cx="5097293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200">
              <a:solidFill>
                <a:schemeClr val="tx1">
                  <a:lumMod val="75000"/>
                  <a:lumOff val="25000"/>
                </a:schemeClr>
              </a:solidFill>
            </a:rPr>
            <a:t>Período Calculado: 01/01/2024 - 31/12/2024 | Data</a:t>
          </a:r>
          <a:r>
            <a:rPr lang="pt-BR" sz="1200" baseline="0">
              <a:solidFill>
                <a:schemeClr val="tx1">
                  <a:lumMod val="75000"/>
                  <a:lumOff val="25000"/>
                </a:schemeClr>
              </a:solidFill>
            </a:rPr>
            <a:t> de Atualização: 17/11/2025</a:t>
          </a:r>
          <a:r>
            <a:rPr lang="pt-BR" sz="1200">
              <a:solidFill>
                <a:schemeClr val="tx1">
                  <a:lumMod val="75000"/>
                  <a:lumOff val="25000"/>
                </a:schemeClr>
              </a:solidFill>
            </a:rPr>
            <a:t> </a:t>
          </a:r>
        </a:p>
      </xdr:txBody>
    </xdr:sp>
    <xdr:clientData/>
  </xdr:oneCellAnchor>
  <xdr:twoCellAnchor>
    <xdr:from>
      <xdr:col>1</xdr:col>
      <xdr:colOff>208716</xdr:colOff>
      <xdr:row>36</xdr:row>
      <xdr:rowOff>27894</xdr:rowOff>
    </xdr:from>
    <xdr:to>
      <xdr:col>28</xdr:col>
      <xdr:colOff>561593</xdr:colOff>
      <xdr:row>53</xdr:row>
      <xdr:rowOff>35830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84A4121A-6917-0697-B18D-2E2D7898DCC6}"/>
            </a:ext>
          </a:extLst>
        </xdr:cNvPr>
        <xdr:cNvGrpSpPr/>
      </xdr:nvGrpSpPr>
      <xdr:grpSpPr>
        <a:xfrm>
          <a:off x="2993645" y="7285037"/>
          <a:ext cx="16246019" cy="3092222"/>
          <a:chOff x="2992438" y="4778374"/>
          <a:chExt cx="14041437" cy="3111498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8CD80507-38D9-AABA-ECAA-2B2E879BF11C}"/>
              </a:ext>
            </a:extLst>
          </xdr:cNvPr>
          <xdr:cNvSpPr/>
        </xdr:nvSpPr>
        <xdr:spPr>
          <a:xfrm>
            <a:off x="2992439" y="5127622"/>
            <a:ext cx="14033500" cy="2762250"/>
          </a:xfrm>
          <a:prstGeom prst="roundRect">
            <a:avLst>
              <a:gd name="adj" fmla="val 3736"/>
            </a:avLst>
          </a:prstGeom>
          <a:solidFill>
            <a:schemeClr val="bg1"/>
          </a:solidFill>
          <a:ln>
            <a:solidFill>
              <a:schemeClr val="accent6"/>
            </a:solidFill>
          </a:ln>
        </xdr:spPr>
        <xdr:style>
          <a:lnRef idx="2">
            <a:schemeClr val="accent1">
              <a:shade val="15000"/>
            </a:schemeClr>
          </a:lnRef>
          <a:fillRef idx="1003">
            <a:schemeClr val="l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D864EB19-96B0-6CFF-5D63-586410AF309F}"/>
              </a:ext>
            </a:extLst>
          </xdr:cNvPr>
          <xdr:cNvSpPr/>
        </xdr:nvSpPr>
        <xdr:spPr>
          <a:xfrm>
            <a:off x="2992438" y="4778374"/>
            <a:ext cx="14041437" cy="436563"/>
          </a:xfrm>
          <a:prstGeom prst="round2SameRect">
            <a:avLst/>
          </a:prstGeom>
          <a:solidFill>
            <a:srgbClr val="22C55E"/>
          </a:solidFill>
          <a:ln>
            <a:solidFill>
              <a:schemeClr val="accent6"/>
            </a:solidFill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</xdr:col>
      <xdr:colOff>8659</xdr:colOff>
      <xdr:row>38</xdr:row>
      <xdr:rowOff>99332</xdr:rowOff>
    </xdr:from>
    <xdr:to>
      <xdr:col>29</xdr:col>
      <xdr:colOff>0</xdr:colOff>
      <xdr:row>53</xdr:row>
      <xdr:rowOff>104095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391F7AC-C9DB-4EAF-9831-34226DE654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378394</xdr:colOff>
      <xdr:row>36</xdr:row>
      <xdr:rowOff>27894</xdr:rowOff>
    </xdr:from>
    <xdr:to>
      <xdr:col>18</xdr:col>
      <xdr:colOff>17787</xdr:colOff>
      <xdr:row>38</xdr:row>
      <xdr:rowOff>39114</xdr:rowOff>
    </xdr:to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A487EEBC-73A6-48F7-A92D-69FE1F37451B}"/>
            </a:ext>
          </a:extLst>
        </xdr:cNvPr>
        <xdr:cNvSpPr txBox="1"/>
      </xdr:nvSpPr>
      <xdr:spPr>
        <a:xfrm>
          <a:off x="8878323" y="7303180"/>
          <a:ext cx="3739678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800" b="1">
              <a:solidFill>
                <a:schemeClr val="bg1"/>
              </a:solidFill>
            </a:rPr>
            <a:t>Total Subscriptions XBOX</a:t>
          </a:r>
          <a:r>
            <a:rPr lang="pt-BR" sz="1800" b="1" baseline="0">
              <a:solidFill>
                <a:schemeClr val="bg1"/>
              </a:solidFill>
            </a:rPr>
            <a:t> </a:t>
          </a:r>
          <a:r>
            <a:rPr lang="pt-BR" sz="1800" b="1">
              <a:solidFill>
                <a:schemeClr val="bg1"/>
              </a:solidFill>
            </a:rPr>
            <a:t>Game Pass</a:t>
          </a:r>
        </a:p>
      </xdr:txBody>
    </xdr:sp>
    <xdr:clientData/>
  </xdr:twoCellAnchor>
  <xdr:twoCellAnchor>
    <xdr:from>
      <xdr:col>1</xdr:col>
      <xdr:colOff>192087</xdr:colOff>
      <xdr:row>16</xdr:row>
      <xdr:rowOff>0</xdr:rowOff>
    </xdr:from>
    <xdr:to>
      <xdr:col>28</xdr:col>
      <xdr:colOff>552355</xdr:colOff>
      <xdr:row>33</xdr:row>
      <xdr:rowOff>8846</xdr:rowOff>
    </xdr:to>
    <xdr:grpSp>
      <xdr:nvGrpSpPr>
        <xdr:cNvPr id="42" name="Agrupar 41">
          <a:extLst>
            <a:ext uri="{FF2B5EF4-FFF2-40B4-BE49-F238E27FC236}">
              <a16:creationId xmlns:a16="http://schemas.microsoft.com/office/drawing/2014/main" id="{6C4BB5F6-5851-1993-4B8B-21F369F237A6}"/>
            </a:ext>
          </a:extLst>
        </xdr:cNvPr>
        <xdr:cNvGrpSpPr/>
      </xdr:nvGrpSpPr>
      <xdr:grpSpPr>
        <a:xfrm>
          <a:off x="2977016" y="3628571"/>
          <a:ext cx="16253410" cy="3093132"/>
          <a:chOff x="2977016" y="4009571"/>
          <a:chExt cx="16253410" cy="3093132"/>
        </a:xfrm>
      </xdr:grpSpPr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EC99EA12-2B0E-44D1-A25B-0ED94D5DD1F5}"/>
              </a:ext>
            </a:extLst>
          </xdr:cNvPr>
          <xdr:cNvGrpSpPr/>
        </xdr:nvGrpSpPr>
        <xdr:grpSpPr>
          <a:xfrm>
            <a:off x="2977016" y="4009571"/>
            <a:ext cx="16246019" cy="3089954"/>
            <a:chOff x="2992438" y="4778374"/>
            <a:chExt cx="14041437" cy="3111498"/>
          </a:xfrm>
        </xdr:grpSpPr>
        <xdr:sp macro="" textlink="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EF00647F-A29F-99DA-1F00-F9B4D4F53969}"/>
                </a:ext>
              </a:extLst>
            </xdr:cNvPr>
            <xdr:cNvSpPr/>
          </xdr:nvSpPr>
          <xdr:spPr>
            <a:xfrm>
              <a:off x="2992439" y="5127622"/>
              <a:ext cx="14033500" cy="2762250"/>
            </a:xfrm>
            <a:prstGeom prst="roundRect">
              <a:avLst>
                <a:gd name="adj" fmla="val 3736"/>
              </a:avLst>
            </a:prstGeom>
            <a:solidFill>
              <a:schemeClr val="bg1"/>
            </a:solidFill>
            <a:ln>
              <a:solidFill>
                <a:schemeClr val="accent6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003">
              <a:schemeClr val="l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8" name="Retângulo: Cantos Superiores Arredondados 17">
              <a:extLst>
                <a:ext uri="{FF2B5EF4-FFF2-40B4-BE49-F238E27FC236}">
                  <a16:creationId xmlns:a16="http://schemas.microsoft.com/office/drawing/2014/main" id="{17573D86-81E4-449A-9FA4-60DA88C3EC01}"/>
                </a:ext>
              </a:extLst>
            </xdr:cNvPr>
            <xdr:cNvSpPr/>
          </xdr:nvSpPr>
          <xdr:spPr>
            <a:xfrm>
              <a:off x="2992438" y="4778374"/>
              <a:ext cx="14041437" cy="436563"/>
            </a:xfrm>
            <a:prstGeom prst="round2SameRect">
              <a:avLst/>
            </a:prstGeom>
            <a:solidFill>
              <a:srgbClr val="22C55E"/>
            </a:solidFill>
            <a:ln>
              <a:solidFill>
                <a:schemeClr val="accent6"/>
              </a:solidFill>
            </a:ln>
          </xdr:spPr>
          <xdr:style>
            <a:lnRef idx="2">
              <a:schemeClr val="accent6">
                <a:shade val="15000"/>
              </a:schemeClr>
            </a:lnRef>
            <a:fillRef idx="1">
              <a:schemeClr val="accent6"/>
            </a:fillRef>
            <a:effectRef idx="0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</xdr:grpSp>
      <xdr:graphicFrame macro="">
        <xdr:nvGraphicFramePr>
          <xdr:cNvPr id="12" name="Gráfico 11">
            <a:extLst>
              <a:ext uri="{FF2B5EF4-FFF2-40B4-BE49-F238E27FC236}">
                <a16:creationId xmlns:a16="http://schemas.microsoft.com/office/drawing/2014/main" id="{B550904E-E2FB-4C8C-9901-ADA942888305}"/>
              </a:ext>
            </a:extLst>
          </xdr:cNvPr>
          <xdr:cNvGraphicFramePr>
            <a:graphicFrameLocks/>
          </xdr:cNvGraphicFramePr>
        </xdr:nvGraphicFramePr>
        <xdr:xfrm>
          <a:off x="3012121" y="4376512"/>
          <a:ext cx="16218305" cy="272619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33" name="CaixaDeTexto 32">
            <a:extLst>
              <a:ext uri="{FF2B5EF4-FFF2-40B4-BE49-F238E27FC236}">
                <a16:creationId xmlns:a16="http://schemas.microsoft.com/office/drawing/2014/main" id="{5E0BEE23-951D-45A1-8B13-18885A031FA0}"/>
              </a:ext>
            </a:extLst>
          </xdr:cNvPr>
          <xdr:cNvSpPr txBox="1"/>
        </xdr:nvSpPr>
        <xdr:spPr>
          <a:xfrm>
            <a:off x="9561286" y="4009571"/>
            <a:ext cx="2336152" cy="37407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pt-BR" sz="1800" b="1">
                <a:solidFill>
                  <a:schemeClr val="bg1"/>
                </a:solidFill>
              </a:rPr>
              <a:t>Subscribers</a:t>
            </a:r>
            <a:r>
              <a:rPr lang="pt-BR" sz="1800" b="1" baseline="0">
                <a:solidFill>
                  <a:schemeClr val="bg1"/>
                </a:solidFill>
              </a:rPr>
              <a:t> per Month</a:t>
            </a:r>
            <a:endParaRPr lang="pt-BR" sz="18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4</xdr:col>
      <xdr:colOff>598714</xdr:colOff>
      <xdr:row>5</xdr:row>
      <xdr:rowOff>0</xdr:rowOff>
    </xdr:from>
    <xdr:to>
      <xdr:col>26</xdr:col>
      <xdr:colOff>401411</xdr:colOff>
      <xdr:row>13</xdr:row>
      <xdr:rowOff>66633</xdr:rowOff>
    </xdr:to>
    <xdr:grpSp>
      <xdr:nvGrpSpPr>
        <xdr:cNvPr id="41" name="Agrupar 40">
          <a:extLst>
            <a:ext uri="{FF2B5EF4-FFF2-40B4-BE49-F238E27FC236}">
              <a16:creationId xmlns:a16="http://schemas.microsoft.com/office/drawing/2014/main" id="{D6719CC1-F4DE-B5BA-5947-C3899B53AAC4}"/>
            </a:ext>
          </a:extLst>
        </xdr:cNvPr>
        <xdr:cNvGrpSpPr/>
      </xdr:nvGrpSpPr>
      <xdr:grpSpPr>
        <a:xfrm>
          <a:off x="4844143" y="1632857"/>
          <a:ext cx="13019768" cy="1518062"/>
          <a:chOff x="3834946" y="1040081"/>
          <a:chExt cx="13019768" cy="1518062"/>
        </a:xfrm>
      </xdr:grpSpPr>
      <xdr:grpSp>
        <xdr:nvGrpSpPr>
          <xdr:cNvPr id="35" name="Agrupar 34">
            <a:extLst>
              <a:ext uri="{FF2B5EF4-FFF2-40B4-BE49-F238E27FC236}">
                <a16:creationId xmlns:a16="http://schemas.microsoft.com/office/drawing/2014/main" id="{D335D440-065E-DE4B-8E6A-54AF261F99E2}"/>
              </a:ext>
            </a:extLst>
          </xdr:cNvPr>
          <xdr:cNvGrpSpPr/>
        </xdr:nvGrpSpPr>
        <xdr:grpSpPr>
          <a:xfrm>
            <a:off x="3834946" y="1233714"/>
            <a:ext cx="13010696" cy="1324429"/>
            <a:chOff x="3834946" y="1233714"/>
            <a:chExt cx="13010696" cy="1324429"/>
          </a:xfrm>
        </xdr:grpSpPr>
        <xdr:sp macro="" textlink="">
          <xdr:nvSpPr>
            <xdr:cNvPr id="26" name="Retângulo: Cantos Arredondados 25">
              <a:extLst>
                <a:ext uri="{FF2B5EF4-FFF2-40B4-BE49-F238E27FC236}">
                  <a16:creationId xmlns:a16="http://schemas.microsoft.com/office/drawing/2014/main" id="{87A822FC-1966-421D-A962-D11B03D178F1}"/>
                </a:ext>
              </a:extLst>
            </xdr:cNvPr>
            <xdr:cNvSpPr/>
          </xdr:nvSpPr>
          <xdr:spPr>
            <a:xfrm>
              <a:off x="3834946" y="1233714"/>
              <a:ext cx="4422677" cy="1262063"/>
            </a:xfrm>
            <a:prstGeom prst="roundRect">
              <a:avLst>
                <a:gd name="adj" fmla="val 3736"/>
              </a:avLst>
            </a:prstGeom>
            <a:solidFill>
              <a:schemeClr val="bg1"/>
            </a:solidFill>
            <a:ln>
              <a:solidFill>
                <a:schemeClr val="accent6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003">
              <a:schemeClr val="l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7" name="Retângulo: Cantos Arredondados 26">
              <a:extLst>
                <a:ext uri="{FF2B5EF4-FFF2-40B4-BE49-F238E27FC236}">
                  <a16:creationId xmlns:a16="http://schemas.microsoft.com/office/drawing/2014/main" id="{5DB4FA50-8723-4012-8A2E-E765F7DCF492}"/>
                </a:ext>
              </a:extLst>
            </xdr:cNvPr>
            <xdr:cNvSpPr/>
          </xdr:nvSpPr>
          <xdr:spPr>
            <a:xfrm>
              <a:off x="12422965" y="1235987"/>
              <a:ext cx="4422677" cy="1322156"/>
            </a:xfrm>
            <a:prstGeom prst="roundRect">
              <a:avLst>
                <a:gd name="adj" fmla="val 3736"/>
              </a:avLst>
            </a:prstGeom>
            <a:solidFill>
              <a:schemeClr val="bg1"/>
            </a:solidFill>
            <a:ln>
              <a:solidFill>
                <a:schemeClr val="accent6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003">
              <a:schemeClr val="l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$D$29">
          <xdr:nvSpPr>
            <xdr:cNvPr id="9" name="CaixaDeTexto 8">
              <a:extLst>
                <a:ext uri="{FF2B5EF4-FFF2-40B4-BE49-F238E27FC236}">
                  <a16:creationId xmlns:a16="http://schemas.microsoft.com/office/drawing/2014/main" id="{90EBE57D-A186-ABB4-5A9D-865FA0405513}"/>
                </a:ext>
              </a:extLst>
            </xdr:cNvPr>
            <xdr:cNvSpPr txBox="1"/>
          </xdr:nvSpPr>
          <xdr:spPr>
            <a:xfrm>
              <a:off x="5769504" y="1651000"/>
              <a:ext cx="1844095" cy="5932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fld id="{7350EAC9-8E74-4001-8349-C03BA3A5EE5B}" type="TxLink">
                <a:rPr lang="en-US" sz="3200" b="0" i="0" u="none" strike="noStrike">
                  <a:solidFill>
                    <a:srgbClr val="22C55E"/>
                  </a:solidFill>
                  <a:latin typeface="Aptos Narrow"/>
                </a:rPr>
                <a:pPr/>
                <a:t>R$ 600,00</a:t>
              </a:fld>
              <a:endParaRPr lang="pt-BR" sz="3200" b="0">
                <a:solidFill>
                  <a:srgbClr val="22C55E"/>
                </a:solidFill>
              </a:endParaRPr>
            </a:p>
          </xdr:txBody>
        </xdr:sp>
        <xdr:sp macro="" textlink="C̳álculos!$H$21">
          <xdr:nvSpPr>
            <xdr:cNvPr id="10" name="CaixaDeTexto 9">
              <a:extLst>
                <a:ext uri="{FF2B5EF4-FFF2-40B4-BE49-F238E27FC236}">
                  <a16:creationId xmlns:a16="http://schemas.microsoft.com/office/drawing/2014/main" id="{06F0E944-B52D-4C3C-8908-D5AE38AEA8CA}"/>
                </a:ext>
              </a:extLst>
            </xdr:cNvPr>
            <xdr:cNvSpPr txBox="1"/>
          </xdr:nvSpPr>
          <xdr:spPr>
            <a:xfrm>
              <a:off x="14423570" y="1651000"/>
              <a:ext cx="2422071" cy="5932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fld id="{6AFD2212-BD6C-4511-A9AA-2793B220B696}" type="TxLink">
                <a:rPr lang="en-US" sz="3200" b="0" i="0" u="none" strike="noStrike">
                  <a:solidFill>
                    <a:srgbClr val="22C55E"/>
                  </a:solidFill>
                  <a:latin typeface="Aptos Narrow"/>
                </a:rPr>
                <a:pPr/>
                <a:t>R$ 920,00</a:t>
              </a:fld>
              <a:endParaRPr lang="pt-BR" sz="3200" b="0">
                <a:solidFill>
                  <a:srgbClr val="22C55E"/>
                </a:solidFill>
              </a:endParaRPr>
            </a:p>
          </xdr:txBody>
        </xdr:sp>
        <xdr:pic>
          <xdr:nvPicPr>
            <xdr:cNvPr id="21" name="Imagem 20">
              <a:extLst>
                <a:ext uri="{FF2B5EF4-FFF2-40B4-BE49-F238E27FC236}">
                  <a16:creationId xmlns:a16="http://schemas.microsoft.com/office/drawing/2014/main" id="{F5084EC4-0252-4A24-A8FD-497DD04688F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4245429" y="1383393"/>
              <a:ext cx="1219200" cy="1174750"/>
            </a:xfrm>
            <a:prstGeom prst="rect">
              <a:avLst/>
            </a:prstGeom>
          </xdr:spPr>
        </xdr:pic>
        <xdr:grpSp>
          <xdr:nvGrpSpPr>
            <xdr:cNvPr id="22" name="Agrupar 21">
              <a:extLst>
                <a:ext uri="{FF2B5EF4-FFF2-40B4-BE49-F238E27FC236}">
                  <a16:creationId xmlns:a16="http://schemas.microsoft.com/office/drawing/2014/main" id="{8BF0FDA1-1BA1-443A-9BCC-DDF324CD9F46}"/>
                </a:ext>
              </a:extLst>
            </xdr:cNvPr>
            <xdr:cNvGrpSpPr/>
          </xdr:nvGrpSpPr>
          <xdr:grpSpPr>
            <a:xfrm>
              <a:off x="12909488" y="1706185"/>
              <a:ext cx="1161143" cy="489101"/>
              <a:chOff x="3495675" y="5400674"/>
              <a:chExt cx="1549476" cy="752476"/>
            </a:xfrm>
          </xdr:grpSpPr>
          <xdr:pic>
            <xdr:nvPicPr>
              <xdr:cNvPr id="23" name="Imagem 22">
                <a:extLst>
                  <a:ext uri="{FF2B5EF4-FFF2-40B4-BE49-F238E27FC236}">
                    <a16:creationId xmlns:a16="http://schemas.microsoft.com/office/drawing/2014/main" id="{54E9ED02-A550-1AAB-9223-4426A196424D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998608" y="5400674"/>
                <a:ext cx="555497" cy="609599"/>
              </a:xfrm>
              <a:prstGeom prst="rect">
                <a:avLst/>
              </a:prstGeom>
            </xdr:spPr>
          </xdr:pic>
          <xdr:pic>
            <xdr:nvPicPr>
              <xdr:cNvPr id="24" name="Gráfico 23">
                <a:extLst>
                  <a:ext uri="{FF2B5EF4-FFF2-40B4-BE49-F238E27FC236}">
                    <a16:creationId xmlns:a16="http://schemas.microsoft.com/office/drawing/2014/main" id="{64E99906-1CCA-E67D-91EF-BDA8617688C2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7">
                <a:extLst>
                  <a:ext uri="{96DAC541-7B7A-43D3-8B79-37D633B846F1}">
                    <asvg:svgBlip xmlns:asvg="http://schemas.microsoft.com/office/drawing/2016/SVG/main" r:embed="rId8"/>
                  </a:ext>
                </a:extLst>
              </a:blip>
              <a:stretch>
                <a:fillRect/>
              </a:stretch>
            </xdr:blipFill>
            <xdr:spPr>
              <a:xfrm>
                <a:off x="3495675" y="5895937"/>
                <a:ext cx="1549476" cy="257213"/>
              </a:xfrm>
              <a:prstGeom prst="rect">
                <a:avLst/>
              </a:prstGeom>
            </xdr:spPr>
          </xdr:pic>
        </xdr:grpSp>
      </xdr:grpSp>
      <xdr:grpSp>
        <xdr:nvGrpSpPr>
          <xdr:cNvPr id="40" name="Agrupar 39">
            <a:extLst>
              <a:ext uri="{FF2B5EF4-FFF2-40B4-BE49-F238E27FC236}">
                <a16:creationId xmlns:a16="http://schemas.microsoft.com/office/drawing/2014/main" id="{34ADB425-59FA-D834-DD79-7FDC91C78668}"/>
              </a:ext>
            </a:extLst>
          </xdr:cNvPr>
          <xdr:cNvGrpSpPr/>
        </xdr:nvGrpSpPr>
        <xdr:grpSpPr>
          <a:xfrm>
            <a:off x="3834946" y="1040081"/>
            <a:ext cx="13019768" cy="433540"/>
            <a:chOff x="3834946" y="1040081"/>
            <a:chExt cx="13019768" cy="433540"/>
          </a:xfrm>
        </xdr:grpSpPr>
        <xdr:sp macro="" textlink="">
          <xdr:nvSpPr>
            <xdr:cNvPr id="20" name="Retângulo: Cantos Superiores Arredondados 19">
              <a:extLst>
                <a:ext uri="{FF2B5EF4-FFF2-40B4-BE49-F238E27FC236}">
                  <a16:creationId xmlns:a16="http://schemas.microsoft.com/office/drawing/2014/main" id="{2065AE11-BD5D-491E-8B95-D8FB356DBEEA}"/>
                </a:ext>
              </a:extLst>
            </xdr:cNvPr>
            <xdr:cNvSpPr/>
          </xdr:nvSpPr>
          <xdr:spPr>
            <a:xfrm>
              <a:off x="3834946" y="1040081"/>
              <a:ext cx="4422677" cy="433540"/>
            </a:xfrm>
            <a:prstGeom prst="round2SameRect">
              <a:avLst/>
            </a:prstGeom>
            <a:solidFill>
              <a:srgbClr val="22C55E"/>
            </a:solidFill>
            <a:ln>
              <a:solidFill>
                <a:schemeClr val="accent6"/>
              </a:solidFill>
            </a:ln>
          </xdr:spPr>
          <xdr:style>
            <a:lnRef idx="2">
              <a:schemeClr val="accent6">
                <a:shade val="15000"/>
              </a:schemeClr>
            </a:lnRef>
            <a:fillRef idx="1">
              <a:schemeClr val="accent6"/>
            </a:fillRef>
            <a:effectRef idx="0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5" name="Retângulo: Cantos Superiores Arredondados 24">
              <a:extLst>
                <a:ext uri="{FF2B5EF4-FFF2-40B4-BE49-F238E27FC236}">
                  <a16:creationId xmlns:a16="http://schemas.microsoft.com/office/drawing/2014/main" id="{827441E1-9ABF-475D-9CFC-F445979E368A}"/>
                </a:ext>
              </a:extLst>
            </xdr:cNvPr>
            <xdr:cNvSpPr/>
          </xdr:nvSpPr>
          <xdr:spPr>
            <a:xfrm>
              <a:off x="12422965" y="1040081"/>
              <a:ext cx="4422677" cy="433540"/>
            </a:xfrm>
            <a:prstGeom prst="round2SameRect">
              <a:avLst/>
            </a:prstGeom>
            <a:solidFill>
              <a:srgbClr val="22C55E"/>
            </a:solidFill>
            <a:ln>
              <a:solidFill>
                <a:schemeClr val="accent6"/>
              </a:solidFill>
            </a:ln>
          </xdr:spPr>
          <xdr:style>
            <a:lnRef idx="2">
              <a:schemeClr val="accent6">
                <a:shade val="15000"/>
              </a:schemeClr>
            </a:lnRef>
            <a:fillRef idx="1">
              <a:schemeClr val="accent6"/>
            </a:fillRef>
            <a:effectRef idx="0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30" name="CaixaDeTexto 29">
              <a:extLst>
                <a:ext uri="{FF2B5EF4-FFF2-40B4-BE49-F238E27FC236}">
                  <a16:creationId xmlns:a16="http://schemas.microsoft.com/office/drawing/2014/main" id="{AFAABE21-9D86-4D4D-848F-EFBB564605DF}"/>
                </a:ext>
              </a:extLst>
            </xdr:cNvPr>
            <xdr:cNvSpPr txBox="1"/>
          </xdr:nvSpPr>
          <xdr:spPr>
            <a:xfrm>
              <a:off x="12427605" y="1075395"/>
              <a:ext cx="4427109" cy="3740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pt-BR" sz="1800" b="1">
                  <a:solidFill>
                    <a:schemeClr val="bg1"/>
                  </a:solidFill>
                </a:rPr>
                <a:t>Total Subscriptions MINECRAFT</a:t>
              </a:r>
              <a:r>
                <a:rPr lang="pt-BR" sz="1800" b="1" baseline="0">
                  <a:solidFill>
                    <a:schemeClr val="bg1"/>
                  </a:solidFill>
                </a:rPr>
                <a:t> Season Pass</a:t>
              </a:r>
              <a:endParaRPr lang="pt-BR" sz="1800" b="1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29" name="CaixaDeTexto 28">
              <a:extLst>
                <a:ext uri="{FF2B5EF4-FFF2-40B4-BE49-F238E27FC236}">
                  <a16:creationId xmlns:a16="http://schemas.microsoft.com/office/drawing/2014/main" id="{C25E5E93-9FDE-4A0D-9F17-12EAEB1E45C5}"/>
                </a:ext>
              </a:extLst>
            </xdr:cNvPr>
            <xdr:cNvSpPr txBox="1"/>
          </xdr:nvSpPr>
          <xdr:spPr>
            <a:xfrm>
              <a:off x="4079874" y="1075395"/>
              <a:ext cx="4000903" cy="3740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pt-BR" sz="1800" b="1">
                  <a:solidFill>
                    <a:schemeClr val="bg1"/>
                  </a:solidFill>
                </a:rPr>
                <a:t>Total Subscriptions EA Play Season Pass</a:t>
              </a:r>
            </a:p>
          </xdr:txBody>
        </xdr:sp>
      </xdr:grp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uisielli Halana" refreshedDate="45976.016512499998" createdVersion="8" refreshedVersion="8" minRefreshableVersion="3" recordCount="293" xr:uid="{4C85A9C2-E19B-47DE-AE02-C1F53338C56F}">
  <cacheSource type="worksheet">
    <worksheetSource ref="A1:M294" sheet="B̳ases"/>
  </cacheSource>
  <cacheFields count="15">
    <cacheField name="Subscriber ID" numFmtId="0">
      <sharedItems containsSemiMixedTypes="0" containsString="0" containsNumber="1" containsInteger="1" minValue="3231" maxValue="3523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5T00:00:00" count="292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5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5/12/2024"/>
        </groupItems>
      </fieldGroup>
    </cacheField>
    <cacheField name="Meses (Start Date)" numFmtId="0" databaseField="0">
      <fieldGroup base="3">
        <rangePr groupBy="months" startDate="2024-01-01T00:00:00" endDate="2024-12-15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5/12/2024"/>
        </groupItems>
      </fieldGroup>
    </cacheField>
  </cacheFields>
  <extLst>
    <ext xmlns:x14="http://schemas.microsoft.com/office/spreadsheetml/2009/9/main" uri="{725AE2AE-9491-48be-B2B4-4EB974FC3084}">
      <x14:pivotCacheDefinition pivotCacheId="208928781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">
  <r>
    <n v="3231"/>
    <s v="João Silva"/>
    <x v="0"/>
    <x v="0"/>
    <x v="0"/>
    <n v="15"/>
    <x v="0"/>
    <s v="Yes"/>
    <x v="0"/>
    <s v="Yes"/>
    <n v="20"/>
    <n v="5"/>
    <n v="60"/>
  </r>
  <r>
    <n v="3232"/>
    <s v="Maria Oliveira"/>
    <x v="1"/>
    <x v="1"/>
    <x v="1"/>
    <n v="5"/>
    <x v="1"/>
    <s v="No"/>
    <x v="1"/>
    <s v="No"/>
    <n v="0"/>
    <n v="0"/>
    <n v="5"/>
  </r>
  <r>
    <n v="3233"/>
    <s v="Lucas Fernandes"/>
    <x v="2"/>
    <x v="2"/>
    <x v="0"/>
    <n v="10"/>
    <x v="2"/>
    <s v="No"/>
    <x v="1"/>
    <s v="Yes"/>
    <n v="20"/>
    <n v="10"/>
    <n v="20"/>
  </r>
  <r>
    <n v="3234"/>
    <s v="Ana Souza"/>
    <x v="0"/>
    <x v="3"/>
    <x v="1"/>
    <n v="15"/>
    <x v="0"/>
    <s v="Yes"/>
    <x v="0"/>
    <s v="Yes"/>
    <n v="20"/>
    <n v="3"/>
    <n v="62"/>
  </r>
  <r>
    <n v="3235"/>
    <s v="Pedro Gonçalves"/>
    <x v="1"/>
    <x v="4"/>
    <x v="0"/>
    <n v="5"/>
    <x v="0"/>
    <s v="No"/>
    <x v="1"/>
    <s v="No"/>
    <n v="0"/>
    <n v="1"/>
    <n v="4"/>
  </r>
  <r>
    <n v="3236"/>
    <s v="Felipe Costa"/>
    <x v="2"/>
    <x v="5"/>
    <x v="1"/>
    <n v="10"/>
    <x v="0"/>
    <s v="No"/>
    <x v="1"/>
    <s v="Yes"/>
    <n v="20"/>
    <n v="2"/>
    <n v="28"/>
  </r>
  <r>
    <n v="3237"/>
    <s v="Camila Ribeiro"/>
    <x v="0"/>
    <x v="6"/>
    <x v="0"/>
    <n v="15"/>
    <x v="2"/>
    <s v="Yes"/>
    <x v="0"/>
    <s v="Yes"/>
    <n v="20"/>
    <n v="10"/>
    <n v="55"/>
  </r>
  <r>
    <n v="3238"/>
    <s v="André Mendes"/>
    <x v="1"/>
    <x v="7"/>
    <x v="0"/>
    <n v="5"/>
    <x v="1"/>
    <s v="No"/>
    <x v="1"/>
    <s v="No"/>
    <n v="0"/>
    <n v="0"/>
    <n v="5"/>
  </r>
  <r>
    <n v="3239"/>
    <s v="Sofia Almeida"/>
    <x v="0"/>
    <x v="4"/>
    <x v="1"/>
    <n v="15"/>
    <x v="0"/>
    <s v="Yes"/>
    <x v="0"/>
    <s v="Yes"/>
    <n v="20"/>
    <n v="5"/>
    <n v="60"/>
  </r>
  <r>
    <n v="3240"/>
    <s v="Bruno Martins"/>
    <x v="2"/>
    <x v="8"/>
    <x v="0"/>
    <n v="10"/>
    <x v="2"/>
    <s v="No"/>
    <x v="1"/>
    <s v="Yes"/>
    <n v="20"/>
    <n v="15"/>
    <n v="15"/>
  </r>
  <r>
    <n v="3241"/>
    <s v="Rita Castro"/>
    <x v="1"/>
    <x v="9"/>
    <x v="1"/>
    <n v="5"/>
    <x v="0"/>
    <s v="No"/>
    <x v="1"/>
    <s v="No"/>
    <n v="0"/>
    <n v="1"/>
    <n v="4"/>
  </r>
  <r>
    <n v="3242"/>
    <s v="Marco Túlio"/>
    <x v="0"/>
    <x v="10"/>
    <x v="0"/>
    <n v="15"/>
    <x v="1"/>
    <s v="Yes"/>
    <x v="0"/>
    <s v="Yes"/>
    <n v="20"/>
    <n v="20"/>
    <n v="45"/>
  </r>
  <r>
    <n v="3243"/>
    <s v="Lívia Silveira"/>
    <x v="2"/>
    <x v="11"/>
    <x v="1"/>
    <n v="10"/>
    <x v="0"/>
    <s v="No"/>
    <x v="1"/>
    <s v="Yes"/>
    <n v="20"/>
    <n v="10"/>
    <n v="20"/>
  </r>
  <r>
    <n v="3244"/>
    <s v="Diogo Sousa"/>
    <x v="1"/>
    <x v="12"/>
    <x v="0"/>
    <n v="5"/>
    <x v="2"/>
    <s v="No"/>
    <x v="1"/>
    <s v="No"/>
    <n v="0"/>
    <n v="0"/>
    <n v="5"/>
  </r>
  <r>
    <n v="3245"/>
    <s v="Fernanda Lima"/>
    <x v="0"/>
    <x v="13"/>
    <x v="1"/>
    <n v="15"/>
    <x v="0"/>
    <s v="Yes"/>
    <x v="0"/>
    <s v="Yes"/>
    <n v="20"/>
    <n v="8"/>
    <n v="57"/>
  </r>
  <r>
    <n v="3246"/>
    <s v="Caio Pereira"/>
    <x v="2"/>
    <x v="14"/>
    <x v="0"/>
    <n v="10"/>
    <x v="1"/>
    <s v="No"/>
    <x v="1"/>
    <s v="Yes"/>
    <n v="20"/>
    <n v="12"/>
    <n v="18"/>
  </r>
  <r>
    <n v="3247"/>
    <s v="Beatriz Gomes"/>
    <x v="1"/>
    <x v="15"/>
    <x v="1"/>
    <n v="5"/>
    <x v="0"/>
    <s v="No"/>
    <x v="1"/>
    <s v="No"/>
    <n v="0"/>
    <n v="2"/>
    <n v="3"/>
  </r>
  <r>
    <n v="3248"/>
    <s v="Cesar Oliveira"/>
    <x v="0"/>
    <x v="16"/>
    <x v="0"/>
    <n v="15"/>
    <x v="2"/>
    <s v="Yes"/>
    <x v="0"/>
    <s v="Yes"/>
    <n v="20"/>
    <n v="7"/>
    <n v="58"/>
  </r>
  <r>
    <n v="3249"/>
    <s v="Débora Machado"/>
    <x v="2"/>
    <x v="17"/>
    <x v="1"/>
    <n v="10"/>
    <x v="0"/>
    <s v="No"/>
    <x v="1"/>
    <s v="Yes"/>
    <n v="20"/>
    <n v="5"/>
    <n v="25"/>
  </r>
  <r>
    <n v="3250"/>
    <s v="Eduardo Vargas"/>
    <x v="1"/>
    <x v="18"/>
    <x v="0"/>
    <n v="5"/>
    <x v="1"/>
    <s v="No"/>
    <x v="1"/>
    <s v="No"/>
    <n v="0"/>
    <n v="0"/>
    <n v="5"/>
  </r>
  <r>
    <n v="3251"/>
    <s v="Gabriela Santos"/>
    <x v="0"/>
    <x v="19"/>
    <x v="1"/>
    <n v="15"/>
    <x v="0"/>
    <s v="Yes"/>
    <x v="0"/>
    <s v="Yes"/>
    <n v="20"/>
    <n v="3"/>
    <n v="62"/>
  </r>
  <r>
    <n v="3252"/>
    <s v="Henrique Dias"/>
    <x v="2"/>
    <x v="20"/>
    <x v="0"/>
    <n v="10"/>
    <x v="2"/>
    <s v="No"/>
    <x v="1"/>
    <s v="Yes"/>
    <n v="20"/>
    <n v="15"/>
    <n v="15"/>
  </r>
  <r>
    <n v="3253"/>
    <s v="Isabela Moreira"/>
    <x v="1"/>
    <x v="21"/>
    <x v="1"/>
    <n v="5"/>
    <x v="0"/>
    <s v="No"/>
    <x v="1"/>
    <s v="No"/>
    <n v="0"/>
    <n v="1"/>
    <n v="4"/>
  </r>
  <r>
    <n v="3254"/>
    <s v="Joaquim Barbosa"/>
    <x v="0"/>
    <x v="22"/>
    <x v="0"/>
    <n v="15"/>
    <x v="1"/>
    <s v="Yes"/>
    <x v="0"/>
    <s v="Yes"/>
    <n v="20"/>
    <n v="20"/>
    <n v="45"/>
  </r>
  <r>
    <n v="3255"/>
    <s v="Lara Rocha"/>
    <x v="2"/>
    <x v="23"/>
    <x v="1"/>
    <n v="10"/>
    <x v="0"/>
    <s v="No"/>
    <x v="1"/>
    <s v="Yes"/>
    <n v="20"/>
    <n v="10"/>
    <n v="20"/>
  </r>
  <r>
    <n v="3256"/>
    <s v="Matheus Silva"/>
    <x v="1"/>
    <x v="24"/>
    <x v="0"/>
    <n v="5"/>
    <x v="2"/>
    <s v="No"/>
    <x v="1"/>
    <s v="No"/>
    <n v="0"/>
    <n v="0"/>
    <n v="5"/>
  </r>
  <r>
    <n v="3257"/>
    <s v="Nicole Costa"/>
    <x v="0"/>
    <x v="25"/>
    <x v="1"/>
    <n v="15"/>
    <x v="0"/>
    <s v="Yes"/>
    <x v="0"/>
    <s v="Yes"/>
    <n v="20"/>
    <n v="5"/>
    <n v="60"/>
  </r>
  <r>
    <n v="3258"/>
    <s v="Otávio Mendonça"/>
    <x v="2"/>
    <x v="26"/>
    <x v="0"/>
    <n v="10"/>
    <x v="1"/>
    <s v="No"/>
    <x v="1"/>
    <s v="Yes"/>
    <n v="20"/>
    <n v="15"/>
    <n v="15"/>
  </r>
  <r>
    <n v="3259"/>
    <s v="Paula Ferreira"/>
    <x v="1"/>
    <x v="27"/>
    <x v="1"/>
    <n v="5"/>
    <x v="0"/>
    <s v="No"/>
    <x v="1"/>
    <s v="No"/>
    <n v="0"/>
    <n v="1"/>
    <n v="4"/>
  </r>
  <r>
    <n v="3260"/>
    <s v="Raquel Alves"/>
    <x v="0"/>
    <x v="28"/>
    <x v="0"/>
    <n v="15"/>
    <x v="2"/>
    <s v="Yes"/>
    <x v="0"/>
    <s v="Yes"/>
    <n v="20"/>
    <n v="7"/>
    <n v="58"/>
  </r>
  <r>
    <n v="3261"/>
    <s v="Samuel Pires"/>
    <x v="2"/>
    <x v="29"/>
    <x v="1"/>
    <n v="10"/>
    <x v="0"/>
    <s v="No"/>
    <x v="1"/>
    <s v="Yes"/>
    <n v="20"/>
    <n v="10"/>
    <n v="20"/>
  </r>
  <r>
    <n v="3262"/>
    <s v="Tânia Barros"/>
    <x v="1"/>
    <x v="30"/>
    <x v="0"/>
    <n v="5"/>
    <x v="1"/>
    <s v="No"/>
    <x v="1"/>
    <s v="No"/>
    <n v="0"/>
    <n v="0"/>
    <n v="5"/>
  </r>
  <r>
    <n v="3263"/>
    <s v="Vinicius Lima"/>
    <x v="0"/>
    <x v="31"/>
    <x v="1"/>
    <n v="15"/>
    <x v="0"/>
    <s v="Yes"/>
    <x v="0"/>
    <s v="Yes"/>
    <n v="20"/>
    <n v="3"/>
    <n v="62"/>
  </r>
  <r>
    <n v="3264"/>
    <s v="Yasmin Teixeira"/>
    <x v="2"/>
    <x v="32"/>
    <x v="0"/>
    <n v="10"/>
    <x v="2"/>
    <s v="No"/>
    <x v="1"/>
    <s v="Yes"/>
    <n v="20"/>
    <n v="15"/>
    <n v="15"/>
  </r>
  <r>
    <n v="3265"/>
    <s v="Zé Carlos"/>
    <x v="1"/>
    <x v="33"/>
    <x v="1"/>
    <n v="5"/>
    <x v="0"/>
    <s v="No"/>
    <x v="1"/>
    <s v="No"/>
    <n v="0"/>
    <n v="1"/>
    <n v="4"/>
  </r>
  <r>
    <n v="3266"/>
    <s v="Amanda Nogueira"/>
    <x v="1"/>
    <x v="34"/>
    <x v="0"/>
    <n v="5"/>
    <x v="0"/>
    <s v="No"/>
    <x v="1"/>
    <s v="No"/>
    <n v="0"/>
    <n v="0"/>
    <n v="5"/>
  </r>
  <r>
    <n v="3267"/>
    <s v="Bruno Cavalheiro"/>
    <x v="0"/>
    <x v="35"/>
    <x v="1"/>
    <n v="15"/>
    <x v="2"/>
    <s v="Yes"/>
    <x v="0"/>
    <s v="Yes"/>
    <n v="20"/>
    <n v="7"/>
    <n v="58"/>
  </r>
  <r>
    <n v="3268"/>
    <s v="Carla Dias"/>
    <x v="2"/>
    <x v="36"/>
    <x v="0"/>
    <n v="10"/>
    <x v="1"/>
    <s v="No"/>
    <x v="1"/>
    <s v="Yes"/>
    <n v="20"/>
    <n v="10"/>
    <n v="20"/>
  </r>
  <r>
    <n v="3269"/>
    <s v="Diego Fontes"/>
    <x v="1"/>
    <x v="37"/>
    <x v="1"/>
    <n v="5"/>
    <x v="2"/>
    <s v="No"/>
    <x v="1"/>
    <s v="No"/>
    <n v="0"/>
    <n v="1"/>
    <n v="4"/>
  </r>
  <r>
    <n v="3270"/>
    <s v="Eunice Lima"/>
    <x v="0"/>
    <x v="38"/>
    <x v="0"/>
    <n v="15"/>
    <x v="0"/>
    <s v="Yes"/>
    <x v="0"/>
    <s v="Yes"/>
    <n v="20"/>
    <n v="15"/>
    <n v="50"/>
  </r>
  <r>
    <n v="3271"/>
    <s v="Fábio Martins"/>
    <x v="2"/>
    <x v="39"/>
    <x v="1"/>
    <n v="10"/>
    <x v="0"/>
    <s v="No"/>
    <x v="1"/>
    <s v="Yes"/>
    <n v="20"/>
    <n v="5"/>
    <n v="25"/>
  </r>
  <r>
    <n v="3272"/>
    <s v="Gisele Araújo"/>
    <x v="1"/>
    <x v="40"/>
    <x v="0"/>
    <n v="5"/>
    <x v="1"/>
    <s v="No"/>
    <x v="1"/>
    <s v="No"/>
    <n v="0"/>
    <n v="0"/>
    <n v="5"/>
  </r>
  <r>
    <n v="3273"/>
    <s v="Hélio Castro"/>
    <x v="0"/>
    <x v="41"/>
    <x v="1"/>
    <n v="15"/>
    <x v="2"/>
    <s v="Yes"/>
    <x v="0"/>
    <s v="Yes"/>
    <n v="20"/>
    <n v="20"/>
    <n v="45"/>
  </r>
  <r>
    <n v="3274"/>
    <s v="Ingrid Menezes"/>
    <x v="2"/>
    <x v="42"/>
    <x v="0"/>
    <n v="10"/>
    <x v="2"/>
    <s v="No"/>
    <x v="1"/>
    <s v="Yes"/>
    <n v="20"/>
    <n v="12"/>
    <n v="18"/>
  </r>
  <r>
    <n v="3275"/>
    <s v="Jorge Baptista"/>
    <x v="1"/>
    <x v="43"/>
    <x v="1"/>
    <n v="5"/>
    <x v="0"/>
    <s v="No"/>
    <x v="1"/>
    <s v="No"/>
    <n v="0"/>
    <n v="2"/>
    <n v="3"/>
  </r>
  <r>
    <n v="3276"/>
    <s v="Kléber Oliveira"/>
    <x v="0"/>
    <x v="44"/>
    <x v="0"/>
    <n v="15"/>
    <x v="1"/>
    <s v="Yes"/>
    <x v="0"/>
    <s v="Yes"/>
    <n v="20"/>
    <n v="5"/>
    <n v="60"/>
  </r>
  <r>
    <n v="3277"/>
    <s v="Luciana Freitas"/>
    <x v="2"/>
    <x v="45"/>
    <x v="1"/>
    <n v="10"/>
    <x v="0"/>
    <s v="No"/>
    <x v="1"/>
    <s v="Yes"/>
    <n v="20"/>
    <n v="10"/>
    <n v="20"/>
  </r>
  <r>
    <n v="3278"/>
    <s v="Márcia Eller"/>
    <x v="1"/>
    <x v="46"/>
    <x v="0"/>
    <n v="5"/>
    <x v="2"/>
    <s v="No"/>
    <x v="1"/>
    <s v="No"/>
    <n v="0"/>
    <n v="0"/>
    <n v="5"/>
  </r>
  <r>
    <n v="3279"/>
    <s v="Nilo Peçanha"/>
    <x v="0"/>
    <x v="47"/>
    <x v="1"/>
    <n v="15"/>
    <x v="0"/>
    <s v="Yes"/>
    <x v="0"/>
    <s v="Yes"/>
    <n v="20"/>
    <n v="3"/>
    <n v="62"/>
  </r>
  <r>
    <n v="3280"/>
    <s v="Oscar Neves"/>
    <x v="2"/>
    <x v="48"/>
    <x v="0"/>
    <n v="10"/>
    <x v="1"/>
    <s v="No"/>
    <x v="1"/>
    <s v="Yes"/>
    <n v="20"/>
    <n v="15"/>
    <n v="15"/>
  </r>
  <r>
    <n v="3281"/>
    <s v="Patrícia Soares"/>
    <x v="1"/>
    <x v="49"/>
    <x v="1"/>
    <n v="5"/>
    <x v="0"/>
    <s v="No"/>
    <x v="1"/>
    <s v="No"/>
    <n v="0"/>
    <n v="1"/>
    <n v="4"/>
  </r>
  <r>
    <n v="3282"/>
    <s v="Quirino Gonçalves"/>
    <x v="0"/>
    <x v="50"/>
    <x v="0"/>
    <n v="15"/>
    <x v="2"/>
    <s v="Yes"/>
    <x v="0"/>
    <s v="Yes"/>
    <n v="20"/>
    <n v="7"/>
    <n v="58"/>
  </r>
  <r>
    <n v="3283"/>
    <s v="Raul Machado"/>
    <x v="2"/>
    <x v="51"/>
    <x v="1"/>
    <n v="10"/>
    <x v="0"/>
    <s v="No"/>
    <x v="1"/>
    <s v="Yes"/>
    <n v="20"/>
    <n v="10"/>
    <n v="20"/>
  </r>
  <r>
    <n v="3284"/>
    <s v="Sônia Lobo"/>
    <x v="1"/>
    <x v="52"/>
    <x v="0"/>
    <n v="5"/>
    <x v="1"/>
    <s v="No"/>
    <x v="1"/>
    <s v="No"/>
    <n v="0"/>
    <n v="0"/>
    <n v="5"/>
  </r>
  <r>
    <n v="3285"/>
    <s v="Tiago Ramos"/>
    <x v="0"/>
    <x v="53"/>
    <x v="1"/>
    <n v="15"/>
    <x v="0"/>
    <s v="Yes"/>
    <x v="0"/>
    <s v="Yes"/>
    <n v="20"/>
    <n v="20"/>
    <n v="45"/>
  </r>
  <r>
    <n v="3286"/>
    <s v="Ugo Pires"/>
    <x v="2"/>
    <x v="54"/>
    <x v="0"/>
    <n v="10"/>
    <x v="2"/>
    <s v="No"/>
    <x v="1"/>
    <s v="Yes"/>
    <n v="20"/>
    <n v="15"/>
    <n v="15"/>
  </r>
  <r>
    <n v="3287"/>
    <s v="Valéria Nobre"/>
    <x v="1"/>
    <x v="55"/>
    <x v="1"/>
    <n v="5"/>
    <x v="0"/>
    <s v="No"/>
    <x v="1"/>
    <s v="No"/>
    <n v="0"/>
    <n v="1"/>
    <n v="4"/>
  </r>
  <r>
    <n v="3288"/>
    <s v="William Siqueira"/>
    <x v="0"/>
    <x v="56"/>
    <x v="0"/>
    <n v="15"/>
    <x v="1"/>
    <s v="Yes"/>
    <x v="0"/>
    <s v="Yes"/>
    <n v="20"/>
    <n v="3"/>
    <n v="62"/>
  </r>
  <r>
    <n v="3289"/>
    <s v="Xuxa Meneghel"/>
    <x v="2"/>
    <x v="57"/>
    <x v="1"/>
    <n v="10"/>
    <x v="0"/>
    <s v="No"/>
    <x v="1"/>
    <s v="Yes"/>
    <n v="20"/>
    <n v="10"/>
    <n v="20"/>
  </r>
  <r>
    <n v="3290"/>
    <s v="Yara Figueiredo"/>
    <x v="1"/>
    <x v="58"/>
    <x v="0"/>
    <n v="5"/>
    <x v="2"/>
    <s v="No"/>
    <x v="1"/>
    <s v="No"/>
    <n v="0"/>
    <n v="0"/>
    <n v="5"/>
  </r>
  <r>
    <n v="3291"/>
    <s v="Zacarias Alves"/>
    <x v="0"/>
    <x v="59"/>
    <x v="1"/>
    <n v="15"/>
    <x v="0"/>
    <s v="Yes"/>
    <x v="0"/>
    <s v="Yes"/>
    <n v="20"/>
    <n v="5"/>
    <n v="60"/>
  </r>
  <r>
    <n v="3292"/>
    <s v="Amanda Bynes"/>
    <x v="2"/>
    <x v="60"/>
    <x v="0"/>
    <n v="10"/>
    <x v="1"/>
    <s v="No"/>
    <x v="1"/>
    <s v="Yes"/>
    <n v="20"/>
    <n v="15"/>
    <n v="15"/>
  </r>
  <r>
    <n v="3293"/>
    <s v="Bruno Mars"/>
    <x v="1"/>
    <x v="61"/>
    <x v="1"/>
    <n v="5"/>
    <x v="0"/>
    <s v="No"/>
    <x v="1"/>
    <s v="No"/>
    <n v="0"/>
    <n v="1"/>
    <n v="4"/>
  </r>
  <r>
    <n v="3294"/>
    <s v="Carla Bruni"/>
    <x v="0"/>
    <x v="62"/>
    <x v="0"/>
    <n v="15"/>
    <x v="2"/>
    <s v="Yes"/>
    <x v="0"/>
    <s v="Yes"/>
    <n v="20"/>
    <n v="20"/>
    <n v="45"/>
  </r>
  <r>
    <n v="3295"/>
    <s v="Diego Maradona"/>
    <x v="2"/>
    <x v="63"/>
    <x v="1"/>
    <n v="10"/>
    <x v="0"/>
    <s v="No"/>
    <x v="1"/>
    <s v="Yes"/>
    <n v="20"/>
    <n v="5"/>
    <n v="25"/>
  </r>
  <r>
    <n v="3296"/>
    <s v="Estela Marques"/>
    <x v="1"/>
    <x v="64"/>
    <x v="1"/>
    <n v="5"/>
    <x v="0"/>
    <s v="No"/>
    <x v="1"/>
    <s v="No"/>
    <n v="0"/>
    <n v="0"/>
    <n v="5"/>
  </r>
  <r>
    <n v="3297"/>
    <s v="Fábio Nobre"/>
    <x v="0"/>
    <x v="65"/>
    <x v="0"/>
    <n v="15"/>
    <x v="2"/>
    <s v="Yes"/>
    <x v="0"/>
    <s v="Yes"/>
    <n v="20"/>
    <n v="7"/>
    <n v="58"/>
  </r>
  <r>
    <n v="3298"/>
    <s v="Gabriel Oliveira"/>
    <x v="2"/>
    <x v="66"/>
    <x v="1"/>
    <n v="10"/>
    <x v="1"/>
    <s v="No"/>
    <x v="1"/>
    <s v="Yes"/>
    <n v="20"/>
    <n v="10"/>
    <n v="20"/>
  </r>
  <r>
    <n v="3299"/>
    <s v="Helena Santos"/>
    <x v="1"/>
    <x v="67"/>
    <x v="0"/>
    <n v="5"/>
    <x v="2"/>
    <s v="No"/>
    <x v="1"/>
    <s v="No"/>
    <n v="0"/>
    <n v="1"/>
    <n v="4"/>
  </r>
  <r>
    <n v="3300"/>
    <s v="Ivan Carvalho"/>
    <x v="0"/>
    <x v="68"/>
    <x v="1"/>
    <n v="15"/>
    <x v="0"/>
    <s v="Yes"/>
    <x v="0"/>
    <s v="Yes"/>
    <n v="20"/>
    <n v="15"/>
    <n v="50"/>
  </r>
  <r>
    <n v="3301"/>
    <s v="Júlia Ferreira"/>
    <x v="2"/>
    <x v="69"/>
    <x v="0"/>
    <n v="10"/>
    <x v="0"/>
    <s v="No"/>
    <x v="1"/>
    <s v="Yes"/>
    <n v="20"/>
    <n v="5"/>
    <n v="25"/>
  </r>
  <r>
    <n v="3302"/>
    <s v="Karla Alves"/>
    <x v="1"/>
    <x v="70"/>
    <x v="1"/>
    <n v="5"/>
    <x v="1"/>
    <s v="No"/>
    <x v="1"/>
    <s v="No"/>
    <n v="0"/>
    <n v="0"/>
    <n v="5"/>
  </r>
  <r>
    <n v="3303"/>
    <s v="Lucas Mendes"/>
    <x v="0"/>
    <x v="71"/>
    <x v="0"/>
    <n v="15"/>
    <x v="2"/>
    <s v="Yes"/>
    <x v="0"/>
    <s v="Yes"/>
    <n v="20"/>
    <n v="20"/>
    <n v="45"/>
  </r>
  <r>
    <n v="3304"/>
    <s v="Mônica Gomes"/>
    <x v="2"/>
    <x v="72"/>
    <x v="1"/>
    <n v="10"/>
    <x v="2"/>
    <s v="No"/>
    <x v="1"/>
    <s v="Yes"/>
    <n v="20"/>
    <n v="12"/>
    <n v="18"/>
  </r>
  <r>
    <n v="3305"/>
    <s v="Norberto Queiroz"/>
    <x v="1"/>
    <x v="73"/>
    <x v="0"/>
    <n v="5"/>
    <x v="0"/>
    <s v="No"/>
    <x v="1"/>
    <s v="No"/>
    <n v="0"/>
    <n v="2"/>
    <n v="3"/>
  </r>
  <r>
    <n v="3306"/>
    <s v="Otávio Barros"/>
    <x v="0"/>
    <x v="74"/>
    <x v="1"/>
    <n v="15"/>
    <x v="1"/>
    <s v="Yes"/>
    <x v="0"/>
    <s v="Yes"/>
    <n v="20"/>
    <n v="5"/>
    <n v="60"/>
  </r>
  <r>
    <n v="3307"/>
    <s v="Paula Vieira"/>
    <x v="2"/>
    <x v="75"/>
    <x v="0"/>
    <n v="10"/>
    <x v="0"/>
    <s v="No"/>
    <x v="1"/>
    <s v="Yes"/>
    <n v="20"/>
    <n v="10"/>
    <n v="20"/>
  </r>
  <r>
    <n v="3308"/>
    <s v="Quentin Ramos"/>
    <x v="1"/>
    <x v="76"/>
    <x v="1"/>
    <n v="5"/>
    <x v="2"/>
    <s v="No"/>
    <x v="1"/>
    <s v="No"/>
    <n v="0"/>
    <n v="0"/>
    <n v="5"/>
  </r>
  <r>
    <n v="3309"/>
    <s v="Raquel Novaes"/>
    <x v="0"/>
    <x v="77"/>
    <x v="0"/>
    <n v="15"/>
    <x v="0"/>
    <s v="Yes"/>
    <x v="0"/>
    <s v="Yes"/>
    <n v="20"/>
    <n v="3"/>
    <n v="62"/>
  </r>
  <r>
    <n v="3310"/>
    <s v="Samantha Lopes"/>
    <x v="2"/>
    <x v="78"/>
    <x v="1"/>
    <n v="10"/>
    <x v="1"/>
    <s v="No"/>
    <x v="1"/>
    <s v="Yes"/>
    <n v="20"/>
    <n v="15"/>
    <n v="15"/>
  </r>
  <r>
    <n v="3311"/>
    <s v="Tiago Martins"/>
    <x v="1"/>
    <x v="79"/>
    <x v="0"/>
    <n v="5"/>
    <x v="0"/>
    <s v="No"/>
    <x v="1"/>
    <s v="No"/>
    <n v="0"/>
    <n v="1"/>
    <n v="4"/>
  </r>
  <r>
    <n v="3312"/>
    <s v="Ulysses Guimarães"/>
    <x v="0"/>
    <x v="80"/>
    <x v="1"/>
    <n v="15"/>
    <x v="2"/>
    <s v="Yes"/>
    <x v="0"/>
    <s v="Yes"/>
    <n v="20"/>
    <n v="7"/>
    <n v="58"/>
  </r>
  <r>
    <n v="3313"/>
    <s v="Vanessa Silva"/>
    <x v="2"/>
    <x v="81"/>
    <x v="0"/>
    <n v="10"/>
    <x v="0"/>
    <s v="No"/>
    <x v="1"/>
    <s v="Yes"/>
    <n v="20"/>
    <n v="10"/>
    <n v="20"/>
  </r>
  <r>
    <n v="3314"/>
    <s v="William Carneiro"/>
    <x v="1"/>
    <x v="82"/>
    <x v="1"/>
    <n v="5"/>
    <x v="1"/>
    <s v="No"/>
    <x v="1"/>
    <s v="No"/>
    <n v="0"/>
    <n v="0"/>
    <n v="5"/>
  </r>
  <r>
    <n v="3315"/>
    <s v="Ximena Rocha"/>
    <x v="0"/>
    <x v="83"/>
    <x v="0"/>
    <n v="15"/>
    <x v="0"/>
    <s v="Yes"/>
    <x v="0"/>
    <s v="Yes"/>
    <n v="20"/>
    <n v="20"/>
    <n v="45"/>
  </r>
  <r>
    <n v="3316"/>
    <s v="Yasmin Figueiredo"/>
    <x v="2"/>
    <x v="84"/>
    <x v="1"/>
    <n v="10"/>
    <x v="2"/>
    <s v="No"/>
    <x v="1"/>
    <s v="Yes"/>
    <n v="20"/>
    <n v="15"/>
    <n v="15"/>
  </r>
  <r>
    <n v="3317"/>
    <s v="Zara Cunha"/>
    <x v="1"/>
    <x v="85"/>
    <x v="0"/>
    <n v="5"/>
    <x v="0"/>
    <s v="No"/>
    <x v="1"/>
    <s v="No"/>
    <n v="0"/>
    <n v="1"/>
    <n v="4"/>
  </r>
  <r>
    <n v="3318"/>
    <s v="Alan Teixeira"/>
    <x v="0"/>
    <x v="86"/>
    <x v="1"/>
    <n v="15"/>
    <x v="1"/>
    <s v="Yes"/>
    <x v="0"/>
    <s v="Yes"/>
    <n v="20"/>
    <n v="3"/>
    <n v="62"/>
  </r>
  <r>
    <n v="3319"/>
    <s v="Bárbara Oliveira"/>
    <x v="2"/>
    <x v="87"/>
    <x v="0"/>
    <n v="10"/>
    <x v="0"/>
    <s v="No"/>
    <x v="1"/>
    <s v="Yes"/>
    <n v="20"/>
    <n v="10"/>
    <n v="20"/>
  </r>
  <r>
    <n v="3320"/>
    <s v="Carlos Junqueira"/>
    <x v="1"/>
    <x v="88"/>
    <x v="1"/>
    <n v="5"/>
    <x v="2"/>
    <s v="No"/>
    <x v="1"/>
    <s v="No"/>
    <n v="0"/>
    <n v="0"/>
    <n v="5"/>
  </r>
  <r>
    <n v="3321"/>
    <s v="Daniela Moura"/>
    <x v="0"/>
    <x v="89"/>
    <x v="0"/>
    <n v="15"/>
    <x v="0"/>
    <s v="Yes"/>
    <x v="0"/>
    <s v="Yes"/>
    <n v="20"/>
    <n v="5"/>
    <n v="60"/>
  </r>
  <r>
    <n v="3322"/>
    <s v="Eduardo Lima"/>
    <x v="2"/>
    <x v="90"/>
    <x v="1"/>
    <n v="10"/>
    <x v="1"/>
    <s v="No"/>
    <x v="1"/>
    <s v="Yes"/>
    <n v="20"/>
    <n v="15"/>
    <n v="15"/>
  </r>
  <r>
    <n v="3323"/>
    <s v="Fabiana Araújo"/>
    <x v="1"/>
    <x v="91"/>
    <x v="0"/>
    <n v="5"/>
    <x v="0"/>
    <s v="No"/>
    <x v="1"/>
    <s v="No"/>
    <n v="0"/>
    <n v="1"/>
    <n v="4"/>
  </r>
  <r>
    <n v="3324"/>
    <s v="Geraldo Ribeiro"/>
    <x v="0"/>
    <x v="92"/>
    <x v="1"/>
    <n v="15"/>
    <x v="2"/>
    <s v="Yes"/>
    <x v="0"/>
    <s v="Yes"/>
    <n v="20"/>
    <n v="20"/>
    <n v="45"/>
  </r>
  <r>
    <n v="3325"/>
    <s v="Héctor Vargas"/>
    <x v="2"/>
    <x v="93"/>
    <x v="0"/>
    <n v="10"/>
    <x v="2"/>
    <s v="No"/>
    <x v="1"/>
    <s v="Yes"/>
    <n v="20"/>
    <n v="15"/>
    <n v="15"/>
  </r>
  <r>
    <n v="3326"/>
    <s v="Isabela Fonseca"/>
    <x v="1"/>
    <x v="94"/>
    <x v="1"/>
    <n v="5"/>
    <x v="1"/>
    <s v="No"/>
    <x v="1"/>
    <s v="No"/>
    <n v="0"/>
    <n v="0"/>
    <n v="5"/>
  </r>
  <r>
    <n v="3327"/>
    <s v="João Pedro Almeida"/>
    <x v="0"/>
    <x v="95"/>
    <x v="0"/>
    <n v="15"/>
    <x v="0"/>
    <s v="Yes"/>
    <x v="0"/>
    <s v="Yes"/>
    <n v="20"/>
    <n v="7"/>
    <n v="58"/>
  </r>
  <r>
    <n v="3328"/>
    <s v="Klara Costa"/>
    <x v="2"/>
    <x v="96"/>
    <x v="1"/>
    <n v="10"/>
    <x v="1"/>
    <s v="No"/>
    <x v="1"/>
    <s v="Yes"/>
    <n v="20"/>
    <n v="10"/>
    <n v="20"/>
  </r>
  <r>
    <n v="3329"/>
    <s v="Luciana Mendes"/>
    <x v="1"/>
    <x v="97"/>
    <x v="0"/>
    <n v="5"/>
    <x v="2"/>
    <s v="No"/>
    <x v="1"/>
    <s v="No"/>
    <n v="0"/>
    <n v="1"/>
    <n v="4"/>
  </r>
  <r>
    <n v="3330"/>
    <s v="Marcelo Gouveia"/>
    <x v="0"/>
    <x v="98"/>
    <x v="1"/>
    <n v="15"/>
    <x v="0"/>
    <s v="Yes"/>
    <x v="0"/>
    <s v="Yes"/>
    <n v="20"/>
    <n v="15"/>
    <n v="50"/>
  </r>
  <r>
    <n v="3331"/>
    <s v="Nívea Borges"/>
    <x v="2"/>
    <x v="99"/>
    <x v="0"/>
    <n v="10"/>
    <x v="0"/>
    <s v="No"/>
    <x v="1"/>
    <s v="Yes"/>
    <n v="20"/>
    <n v="5"/>
    <n v="25"/>
  </r>
  <r>
    <n v="3332"/>
    <s v="Oscar Nogueira"/>
    <x v="1"/>
    <x v="100"/>
    <x v="1"/>
    <n v="5"/>
    <x v="1"/>
    <s v="No"/>
    <x v="1"/>
    <s v="No"/>
    <n v="0"/>
    <n v="0"/>
    <n v="5"/>
  </r>
  <r>
    <n v="3333"/>
    <s v="Patrícia Alves"/>
    <x v="0"/>
    <x v="101"/>
    <x v="0"/>
    <n v="15"/>
    <x v="2"/>
    <s v="Yes"/>
    <x v="0"/>
    <s v="Yes"/>
    <n v="20"/>
    <n v="20"/>
    <n v="45"/>
  </r>
  <r>
    <n v="3334"/>
    <s v="Rafaela Silva"/>
    <x v="2"/>
    <x v="102"/>
    <x v="1"/>
    <n v="10"/>
    <x v="2"/>
    <s v="No"/>
    <x v="1"/>
    <s v="Yes"/>
    <n v="20"/>
    <n v="12"/>
    <n v="18"/>
  </r>
  <r>
    <n v="3335"/>
    <s v="Samantha Moraes"/>
    <x v="1"/>
    <x v="103"/>
    <x v="0"/>
    <n v="5"/>
    <x v="0"/>
    <s v="No"/>
    <x v="1"/>
    <s v="No"/>
    <n v="0"/>
    <n v="2"/>
    <n v="3"/>
  </r>
  <r>
    <n v="3336"/>
    <s v="Tatiana Rocha"/>
    <x v="1"/>
    <x v="104"/>
    <x v="0"/>
    <n v="5"/>
    <x v="0"/>
    <s v="No"/>
    <x v="1"/>
    <s v="No"/>
    <n v="0"/>
    <n v="0"/>
    <n v="5"/>
  </r>
  <r>
    <n v="3337"/>
    <s v="Ulisses Tavares"/>
    <x v="0"/>
    <x v="105"/>
    <x v="1"/>
    <n v="15"/>
    <x v="2"/>
    <s v="Yes"/>
    <x v="0"/>
    <s v="Yes"/>
    <n v="20"/>
    <n v="7"/>
    <n v="58"/>
  </r>
  <r>
    <n v="3338"/>
    <s v="Víctor Lemos"/>
    <x v="2"/>
    <x v="106"/>
    <x v="0"/>
    <n v="10"/>
    <x v="1"/>
    <s v="No"/>
    <x v="1"/>
    <s v="Yes"/>
    <n v="20"/>
    <n v="10"/>
    <n v="20"/>
  </r>
  <r>
    <n v="3339"/>
    <s v="Wilma Barros"/>
    <x v="1"/>
    <x v="107"/>
    <x v="1"/>
    <n v="5"/>
    <x v="2"/>
    <s v="No"/>
    <x v="1"/>
    <s v="No"/>
    <n v="0"/>
    <n v="1"/>
    <n v="4"/>
  </r>
  <r>
    <n v="3340"/>
    <s v="Xavier Nascimento"/>
    <x v="0"/>
    <x v="108"/>
    <x v="0"/>
    <n v="15"/>
    <x v="0"/>
    <s v="Yes"/>
    <x v="0"/>
    <s v="Yes"/>
    <n v="20"/>
    <n v="15"/>
    <n v="50"/>
  </r>
  <r>
    <n v="3341"/>
    <s v="Yago Pereira"/>
    <x v="2"/>
    <x v="109"/>
    <x v="1"/>
    <n v="10"/>
    <x v="0"/>
    <s v="No"/>
    <x v="1"/>
    <s v="Yes"/>
    <n v="20"/>
    <n v="5"/>
    <n v="25"/>
  </r>
  <r>
    <n v="3342"/>
    <s v="Zilda Ferreira"/>
    <x v="1"/>
    <x v="110"/>
    <x v="0"/>
    <n v="5"/>
    <x v="1"/>
    <s v="No"/>
    <x v="1"/>
    <s v="No"/>
    <n v="0"/>
    <n v="0"/>
    <n v="5"/>
  </r>
  <r>
    <n v="3343"/>
    <s v="Amanda Lopes"/>
    <x v="0"/>
    <x v="111"/>
    <x v="1"/>
    <n v="15"/>
    <x v="2"/>
    <s v="Yes"/>
    <x v="0"/>
    <s v="Yes"/>
    <n v="20"/>
    <n v="20"/>
    <n v="45"/>
  </r>
  <r>
    <n v="3344"/>
    <s v="Bruno Miranda"/>
    <x v="2"/>
    <x v="112"/>
    <x v="0"/>
    <n v="10"/>
    <x v="2"/>
    <s v="No"/>
    <x v="1"/>
    <s v="Yes"/>
    <n v="20"/>
    <n v="12"/>
    <n v="18"/>
  </r>
  <r>
    <n v="3345"/>
    <s v="Célia Torres"/>
    <x v="1"/>
    <x v="113"/>
    <x v="1"/>
    <n v="5"/>
    <x v="0"/>
    <s v="No"/>
    <x v="1"/>
    <s v="No"/>
    <n v="0"/>
    <n v="2"/>
    <n v="3"/>
  </r>
  <r>
    <n v="3346"/>
    <s v="Diogo Souza"/>
    <x v="0"/>
    <x v="114"/>
    <x v="0"/>
    <n v="15"/>
    <x v="1"/>
    <s v="Yes"/>
    <x v="0"/>
    <s v="Yes"/>
    <n v="20"/>
    <n v="5"/>
    <n v="60"/>
  </r>
  <r>
    <n v="3347"/>
    <s v="Elisa Castro"/>
    <x v="2"/>
    <x v="115"/>
    <x v="1"/>
    <n v="10"/>
    <x v="0"/>
    <s v="No"/>
    <x v="1"/>
    <s v="Yes"/>
    <n v="20"/>
    <n v="10"/>
    <n v="20"/>
  </r>
  <r>
    <n v="3348"/>
    <s v="Fátima Lima"/>
    <x v="1"/>
    <x v="116"/>
    <x v="0"/>
    <n v="5"/>
    <x v="2"/>
    <s v="No"/>
    <x v="1"/>
    <s v="No"/>
    <n v="0"/>
    <n v="0"/>
    <n v="5"/>
  </r>
  <r>
    <n v="3349"/>
    <s v="Geraldo Ribeiro"/>
    <x v="0"/>
    <x v="117"/>
    <x v="1"/>
    <n v="15"/>
    <x v="0"/>
    <s v="Yes"/>
    <x v="0"/>
    <s v="Yes"/>
    <n v="20"/>
    <n v="3"/>
    <n v="62"/>
  </r>
  <r>
    <n v="3350"/>
    <s v="Hélio Martins"/>
    <x v="2"/>
    <x v="118"/>
    <x v="0"/>
    <n v="10"/>
    <x v="1"/>
    <s v="No"/>
    <x v="1"/>
    <s v="Yes"/>
    <n v="20"/>
    <n v="15"/>
    <n v="15"/>
  </r>
  <r>
    <n v="3351"/>
    <s v="Íris Santos"/>
    <x v="1"/>
    <x v="119"/>
    <x v="1"/>
    <n v="5"/>
    <x v="0"/>
    <s v="No"/>
    <x v="1"/>
    <s v="No"/>
    <n v="0"/>
    <n v="1"/>
    <n v="4"/>
  </r>
  <r>
    <n v="3352"/>
    <s v="João Marcelo"/>
    <x v="0"/>
    <x v="120"/>
    <x v="0"/>
    <n v="15"/>
    <x v="2"/>
    <s v="Yes"/>
    <x v="0"/>
    <s v="Yes"/>
    <n v="20"/>
    <n v="7"/>
    <n v="58"/>
  </r>
  <r>
    <n v="3353"/>
    <s v="Larissa Gomes"/>
    <x v="2"/>
    <x v="121"/>
    <x v="1"/>
    <n v="10"/>
    <x v="0"/>
    <s v="No"/>
    <x v="1"/>
    <s v="Yes"/>
    <n v="20"/>
    <n v="10"/>
    <n v="20"/>
  </r>
  <r>
    <n v="3354"/>
    <s v="Márcio Silva"/>
    <x v="1"/>
    <x v="122"/>
    <x v="0"/>
    <n v="5"/>
    <x v="1"/>
    <s v="No"/>
    <x v="1"/>
    <s v="No"/>
    <n v="0"/>
    <n v="0"/>
    <n v="5"/>
  </r>
  <r>
    <n v="3355"/>
    <s v="Nadia Costa"/>
    <x v="0"/>
    <x v="123"/>
    <x v="1"/>
    <n v="15"/>
    <x v="0"/>
    <s v="Yes"/>
    <x v="0"/>
    <s v="Yes"/>
    <n v="20"/>
    <n v="20"/>
    <n v="45"/>
  </r>
  <r>
    <n v="3356"/>
    <s v="Oscar Almeida"/>
    <x v="2"/>
    <x v="124"/>
    <x v="0"/>
    <n v="10"/>
    <x v="2"/>
    <s v="No"/>
    <x v="1"/>
    <s v="Yes"/>
    <n v="20"/>
    <n v="15"/>
    <n v="15"/>
  </r>
  <r>
    <n v="3357"/>
    <s v="Patricia Soares"/>
    <x v="1"/>
    <x v="125"/>
    <x v="1"/>
    <n v="5"/>
    <x v="0"/>
    <s v="No"/>
    <x v="1"/>
    <s v="No"/>
    <n v="0"/>
    <n v="1"/>
    <n v="4"/>
  </r>
  <r>
    <n v="3358"/>
    <s v="Quênia Barros"/>
    <x v="0"/>
    <x v="126"/>
    <x v="0"/>
    <n v="15"/>
    <x v="1"/>
    <s v="Yes"/>
    <x v="0"/>
    <s v="Yes"/>
    <n v="20"/>
    <n v="3"/>
    <n v="62"/>
  </r>
  <r>
    <n v="3359"/>
    <s v="Rafael Torres"/>
    <x v="2"/>
    <x v="127"/>
    <x v="1"/>
    <n v="10"/>
    <x v="0"/>
    <s v="No"/>
    <x v="1"/>
    <s v="Yes"/>
    <n v="20"/>
    <n v="10"/>
    <n v="20"/>
  </r>
  <r>
    <n v="3360"/>
    <s v="Silvia Nascimento"/>
    <x v="1"/>
    <x v="128"/>
    <x v="0"/>
    <n v="5"/>
    <x v="2"/>
    <s v="No"/>
    <x v="1"/>
    <s v="No"/>
    <n v="0"/>
    <n v="0"/>
    <n v="5"/>
  </r>
  <r>
    <n v="3361"/>
    <s v="Tiago Mendes"/>
    <x v="0"/>
    <x v="129"/>
    <x v="1"/>
    <n v="15"/>
    <x v="0"/>
    <s v="Yes"/>
    <x v="0"/>
    <s v="Yes"/>
    <n v="20"/>
    <n v="15"/>
    <n v="50"/>
  </r>
  <r>
    <n v="3362"/>
    <s v="Ursula Silva"/>
    <x v="2"/>
    <x v="130"/>
    <x v="0"/>
    <n v="10"/>
    <x v="1"/>
    <s v="No"/>
    <x v="1"/>
    <s v="Yes"/>
    <n v="20"/>
    <n v="15"/>
    <n v="15"/>
  </r>
  <r>
    <n v="3363"/>
    <s v="Vanessa Moraes"/>
    <x v="1"/>
    <x v="131"/>
    <x v="1"/>
    <n v="5"/>
    <x v="0"/>
    <s v="No"/>
    <x v="1"/>
    <s v="No"/>
    <n v="0"/>
    <n v="1"/>
    <n v="4"/>
  </r>
  <r>
    <n v="3364"/>
    <s v="Waldir Junior"/>
    <x v="0"/>
    <x v="132"/>
    <x v="0"/>
    <n v="15"/>
    <x v="2"/>
    <s v="Yes"/>
    <x v="0"/>
    <s v="Yes"/>
    <n v="20"/>
    <n v="7"/>
    <n v="58"/>
  </r>
  <r>
    <n v="3365"/>
    <s v="Xavier Lopes"/>
    <x v="2"/>
    <x v="133"/>
    <x v="1"/>
    <n v="10"/>
    <x v="0"/>
    <s v="No"/>
    <x v="1"/>
    <s v="Yes"/>
    <n v="20"/>
    <n v="10"/>
    <n v="20"/>
  </r>
  <r>
    <n v="3366"/>
    <s v="Yolanda Freitas"/>
    <x v="1"/>
    <x v="134"/>
    <x v="0"/>
    <n v="5"/>
    <x v="0"/>
    <s v="No"/>
    <x v="1"/>
    <s v="No"/>
    <n v="0"/>
    <n v="0"/>
    <n v="5"/>
  </r>
  <r>
    <n v="3367"/>
    <s v="Zacarias Nunes"/>
    <x v="0"/>
    <x v="135"/>
    <x v="1"/>
    <n v="15"/>
    <x v="2"/>
    <s v="Yes"/>
    <x v="0"/>
    <s v="Yes"/>
    <n v="20"/>
    <n v="7"/>
    <n v="58"/>
  </r>
  <r>
    <n v="3368"/>
    <s v="Ana Clara Barreto"/>
    <x v="2"/>
    <x v="136"/>
    <x v="0"/>
    <n v="10"/>
    <x v="1"/>
    <s v="No"/>
    <x v="1"/>
    <s v="Yes"/>
    <n v="20"/>
    <n v="10"/>
    <n v="20"/>
  </r>
  <r>
    <n v="3369"/>
    <s v="Bruno Henrique"/>
    <x v="1"/>
    <x v="137"/>
    <x v="1"/>
    <n v="5"/>
    <x v="2"/>
    <s v="No"/>
    <x v="1"/>
    <s v="No"/>
    <n v="0"/>
    <n v="1"/>
    <n v="4"/>
  </r>
  <r>
    <n v="3370"/>
    <s v="Carlos Eduardo"/>
    <x v="0"/>
    <x v="138"/>
    <x v="0"/>
    <n v="15"/>
    <x v="0"/>
    <s v="Yes"/>
    <x v="0"/>
    <s v="Yes"/>
    <n v="20"/>
    <n v="15"/>
    <n v="50"/>
  </r>
  <r>
    <n v="3371"/>
    <s v="Débora Lima"/>
    <x v="2"/>
    <x v="139"/>
    <x v="1"/>
    <n v="10"/>
    <x v="0"/>
    <s v="No"/>
    <x v="1"/>
    <s v="Yes"/>
    <n v="20"/>
    <n v="5"/>
    <n v="25"/>
  </r>
  <r>
    <n v="3372"/>
    <s v="Elisa Neves"/>
    <x v="1"/>
    <x v="140"/>
    <x v="0"/>
    <n v="5"/>
    <x v="1"/>
    <s v="No"/>
    <x v="1"/>
    <s v="No"/>
    <n v="0"/>
    <n v="0"/>
    <n v="5"/>
  </r>
  <r>
    <n v="3373"/>
    <s v="Fabiano Gomes"/>
    <x v="0"/>
    <x v="141"/>
    <x v="1"/>
    <n v="15"/>
    <x v="2"/>
    <s v="Yes"/>
    <x v="0"/>
    <s v="Yes"/>
    <n v="20"/>
    <n v="20"/>
    <n v="45"/>
  </r>
  <r>
    <n v="3374"/>
    <s v="Gisele Oliveira"/>
    <x v="2"/>
    <x v="142"/>
    <x v="0"/>
    <n v="10"/>
    <x v="2"/>
    <s v="No"/>
    <x v="1"/>
    <s v="Yes"/>
    <n v="20"/>
    <n v="12"/>
    <n v="18"/>
  </r>
  <r>
    <n v="3375"/>
    <s v="Héctor Silva"/>
    <x v="1"/>
    <x v="143"/>
    <x v="1"/>
    <n v="5"/>
    <x v="0"/>
    <s v="No"/>
    <x v="1"/>
    <s v="No"/>
    <n v="0"/>
    <n v="2"/>
    <n v="3"/>
  </r>
  <r>
    <n v="3376"/>
    <s v="Igor Martins"/>
    <x v="0"/>
    <x v="144"/>
    <x v="0"/>
    <n v="15"/>
    <x v="1"/>
    <s v="Yes"/>
    <x v="0"/>
    <s v="Yes"/>
    <n v="20"/>
    <n v="5"/>
    <n v="60"/>
  </r>
  <r>
    <n v="3377"/>
    <s v="Joana Figueiredo"/>
    <x v="2"/>
    <x v="145"/>
    <x v="1"/>
    <n v="10"/>
    <x v="0"/>
    <s v="No"/>
    <x v="1"/>
    <s v="Yes"/>
    <n v="20"/>
    <n v="10"/>
    <n v="20"/>
  </r>
  <r>
    <n v="3378"/>
    <s v="Kleber Machado"/>
    <x v="1"/>
    <x v="146"/>
    <x v="0"/>
    <n v="5"/>
    <x v="2"/>
    <s v="No"/>
    <x v="1"/>
    <s v="No"/>
    <n v="0"/>
    <n v="0"/>
    <n v="5"/>
  </r>
  <r>
    <n v="3379"/>
    <s v="Luciana Santos"/>
    <x v="0"/>
    <x v="147"/>
    <x v="1"/>
    <n v="15"/>
    <x v="0"/>
    <s v="Yes"/>
    <x v="0"/>
    <s v="Yes"/>
    <n v="20"/>
    <n v="3"/>
    <n v="62"/>
  </r>
  <r>
    <n v="3380"/>
    <s v="Marcos Teixeira"/>
    <x v="2"/>
    <x v="148"/>
    <x v="0"/>
    <n v="10"/>
    <x v="1"/>
    <s v="No"/>
    <x v="1"/>
    <s v="Yes"/>
    <n v="20"/>
    <n v="15"/>
    <n v="15"/>
  </r>
  <r>
    <n v="3381"/>
    <s v="Natalia Costa"/>
    <x v="1"/>
    <x v="149"/>
    <x v="1"/>
    <n v="5"/>
    <x v="0"/>
    <s v="No"/>
    <x v="1"/>
    <s v="No"/>
    <n v="0"/>
    <n v="1"/>
    <n v="4"/>
  </r>
  <r>
    <n v="3382"/>
    <s v="Oscar Ribeiro"/>
    <x v="0"/>
    <x v="150"/>
    <x v="0"/>
    <n v="15"/>
    <x v="2"/>
    <s v="Yes"/>
    <x v="0"/>
    <s v="Yes"/>
    <n v="20"/>
    <n v="7"/>
    <n v="58"/>
  </r>
  <r>
    <n v="3383"/>
    <s v="Patricia Almeida"/>
    <x v="2"/>
    <x v="151"/>
    <x v="1"/>
    <n v="10"/>
    <x v="0"/>
    <s v="No"/>
    <x v="1"/>
    <s v="Yes"/>
    <n v="20"/>
    <n v="10"/>
    <n v="20"/>
  </r>
  <r>
    <n v="3384"/>
    <s v="Quirino Junior"/>
    <x v="1"/>
    <x v="152"/>
    <x v="0"/>
    <n v="5"/>
    <x v="1"/>
    <s v="No"/>
    <x v="1"/>
    <s v="No"/>
    <n v="0"/>
    <n v="0"/>
    <n v="5"/>
  </r>
  <r>
    <n v="3385"/>
    <s v="Renata Machado"/>
    <x v="0"/>
    <x v="153"/>
    <x v="1"/>
    <n v="15"/>
    <x v="0"/>
    <s v="Yes"/>
    <x v="0"/>
    <s v="Yes"/>
    <n v="20"/>
    <n v="20"/>
    <n v="45"/>
  </r>
  <r>
    <n v="3386"/>
    <s v="Sônia Alves"/>
    <x v="2"/>
    <x v="154"/>
    <x v="0"/>
    <n v="10"/>
    <x v="2"/>
    <s v="No"/>
    <x v="1"/>
    <s v="Yes"/>
    <n v="20"/>
    <n v="15"/>
    <n v="15"/>
  </r>
  <r>
    <n v="3387"/>
    <s v="Tiago Nunes"/>
    <x v="1"/>
    <x v="155"/>
    <x v="1"/>
    <n v="5"/>
    <x v="0"/>
    <s v="No"/>
    <x v="1"/>
    <s v="No"/>
    <n v="0"/>
    <n v="1"/>
    <n v="4"/>
  </r>
  <r>
    <n v="3388"/>
    <s v="Ulysses Pereira"/>
    <x v="0"/>
    <x v="156"/>
    <x v="0"/>
    <n v="15"/>
    <x v="1"/>
    <s v="Yes"/>
    <x v="0"/>
    <s v="Yes"/>
    <n v="20"/>
    <n v="3"/>
    <n v="62"/>
  </r>
  <r>
    <n v="3389"/>
    <s v="Vanessa Lima"/>
    <x v="2"/>
    <x v="157"/>
    <x v="1"/>
    <n v="10"/>
    <x v="0"/>
    <s v="No"/>
    <x v="1"/>
    <s v="Yes"/>
    <n v="20"/>
    <n v="10"/>
    <n v="20"/>
  </r>
  <r>
    <n v="3390"/>
    <s v="Wagner Santos"/>
    <x v="1"/>
    <x v="158"/>
    <x v="0"/>
    <n v="5"/>
    <x v="2"/>
    <s v="No"/>
    <x v="1"/>
    <s v="No"/>
    <n v="0"/>
    <n v="0"/>
    <n v="5"/>
  </r>
  <r>
    <n v="3391"/>
    <s v="Xuxa Meneghel"/>
    <x v="0"/>
    <x v="159"/>
    <x v="1"/>
    <n v="15"/>
    <x v="0"/>
    <s v="Yes"/>
    <x v="0"/>
    <s v="Yes"/>
    <n v="20"/>
    <n v="15"/>
    <n v="50"/>
  </r>
  <r>
    <n v="3392"/>
    <s v="Yasmin Silva"/>
    <x v="2"/>
    <x v="160"/>
    <x v="0"/>
    <n v="10"/>
    <x v="1"/>
    <s v="No"/>
    <x v="1"/>
    <s v="Yes"/>
    <n v="20"/>
    <n v="15"/>
    <n v="15"/>
  </r>
  <r>
    <n v="3393"/>
    <s v="Zacarias de Souza"/>
    <x v="1"/>
    <x v="161"/>
    <x v="1"/>
    <n v="5"/>
    <x v="0"/>
    <s v="No"/>
    <x v="1"/>
    <s v="No"/>
    <n v="0"/>
    <n v="1"/>
    <n v="4"/>
  </r>
  <r>
    <n v="3394"/>
    <s v="André Lima"/>
    <x v="0"/>
    <x v="162"/>
    <x v="0"/>
    <n v="15"/>
    <x v="2"/>
    <s v="Yes"/>
    <x v="0"/>
    <s v="Yes"/>
    <n v="20"/>
    <n v="7"/>
    <n v="58"/>
  </r>
  <r>
    <n v="3395"/>
    <s v="Bianca Freitas"/>
    <x v="2"/>
    <x v="163"/>
    <x v="1"/>
    <n v="10"/>
    <x v="0"/>
    <s v="No"/>
    <x v="1"/>
    <s v="Yes"/>
    <n v="20"/>
    <n v="10"/>
    <n v="20"/>
  </r>
  <r>
    <n v="3396"/>
    <s v="Caio Mendes"/>
    <x v="1"/>
    <x v="164"/>
    <x v="0"/>
    <n v="5"/>
    <x v="1"/>
    <s v="No"/>
    <x v="1"/>
    <s v="No"/>
    <n v="0"/>
    <n v="0"/>
    <n v="5"/>
  </r>
  <r>
    <n v="3397"/>
    <s v="Daniela Moura"/>
    <x v="0"/>
    <x v="165"/>
    <x v="1"/>
    <n v="15"/>
    <x v="0"/>
    <s v="Yes"/>
    <x v="0"/>
    <s v="Yes"/>
    <n v="20"/>
    <n v="20"/>
    <n v="45"/>
  </r>
  <r>
    <n v="3398"/>
    <s v="Eduardo Costa"/>
    <x v="2"/>
    <x v="166"/>
    <x v="0"/>
    <n v="10"/>
    <x v="2"/>
    <s v="No"/>
    <x v="1"/>
    <s v="Yes"/>
    <n v="20"/>
    <n v="15"/>
    <n v="15"/>
  </r>
  <r>
    <n v="3399"/>
    <s v="Fernanda Gomes"/>
    <x v="1"/>
    <x v="167"/>
    <x v="1"/>
    <n v="5"/>
    <x v="0"/>
    <s v="No"/>
    <x v="1"/>
    <s v="No"/>
    <n v="0"/>
    <n v="1"/>
    <n v="4"/>
  </r>
  <r>
    <n v="3400"/>
    <s v="Guilherme Souza"/>
    <x v="0"/>
    <x v="168"/>
    <x v="0"/>
    <n v="15"/>
    <x v="1"/>
    <s v="Yes"/>
    <x v="0"/>
    <s v="Yes"/>
    <n v="20"/>
    <n v="5"/>
    <n v="60"/>
  </r>
  <r>
    <n v="3401"/>
    <s v="Helena Ribeiro"/>
    <x v="2"/>
    <x v="169"/>
    <x v="1"/>
    <n v="10"/>
    <x v="0"/>
    <s v="No"/>
    <x v="1"/>
    <s v="Yes"/>
    <n v="20"/>
    <n v="10"/>
    <n v="20"/>
  </r>
  <r>
    <n v="3402"/>
    <s v="Igor Santos"/>
    <x v="1"/>
    <x v="170"/>
    <x v="0"/>
    <n v="5"/>
    <x v="2"/>
    <s v="No"/>
    <x v="1"/>
    <s v="No"/>
    <n v="0"/>
    <n v="0"/>
    <n v="5"/>
  </r>
  <r>
    <n v="3403"/>
    <s v="João Carvalho"/>
    <x v="0"/>
    <x v="171"/>
    <x v="1"/>
    <n v="15"/>
    <x v="0"/>
    <s v="Yes"/>
    <x v="0"/>
    <s v="Yes"/>
    <n v="20"/>
    <n v="3"/>
    <n v="62"/>
  </r>
  <r>
    <n v="3404"/>
    <s v="Klara Fagundes"/>
    <x v="2"/>
    <x v="172"/>
    <x v="0"/>
    <n v="10"/>
    <x v="1"/>
    <s v="No"/>
    <x v="1"/>
    <s v="Yes"/>
    <n v="20"/>
    <n v="15"/>
    <n v="15"/>
  </r>
  <r>
    <n v="3405"/>
    <s v="Lúcia Mendonça"/>
    <x v="1"/>
    <x v="173"/>
    <x v="1"/>
    <n v="5"/>
    <x v="0"/>
    <s v="No"/>
    <x v="1"/>
    <s v="No"/>
    <n v="0"/>
    <n v="1"/>
    <n v="4"/>
  </r>
  <r>
    <n v="3406"/>
    <s v="Marcelo Novaes"/>
    <x v="1"/>
    <x v="174"/>
    <x v="0"/>
    <n v="5"/>
    <x v="0"/>
    <s v="No"/>
    <x v="1"/>
    <s v="No"/>
    <n v="0"/>
    <n v="0"/>
    <n v="5"/>
  </r>
  <r>
    <n v="3407"/>
    <s v="Nina Pacheco"/>
    <x v="0"/>
    <x v="175"/>
    <x v="1"/>
    <n v="15"/>
    <x v="2"/>
    <s v="Yes"/>
    <x v="0"/>
    <s v="Yes"/>
    <n v="20"/>
    <n v="7"/>
    <n v="58"/>
  </r>
  <r>
    <n v="3408"/>
    <s v="Olívia Rios"/>
    <x v="2"/>
    <x v="176"/>
    <x v="0"/>
    <n v="10"/>
    <x v="1"/>
    <s v="No"/>
    <x v="1"/>
    <s v="Yes"/>
    <n v="20"/>
    <n v="10"/>
    <n v="20"/>
  </r>
  <r>
    <n v="3409"/>
    <s v="Paulo Quintana"/>
    <x v="1"/>
    <x v="177"/>
    <x v="1"/>
    <n v="5"/>
    <x v="2"/>
    <s v="No"/>
    <x v="1"/>
    <s v="No"/>
    <n v="0"/>
    <n v="1"/>
    <n v="4"/>
  </r>
  <r>
    <n v="3410"/>
    <s v="Raquel Domingos"/>
    <x v="0"/>
    <x v="178"/>
    <x v="0"/>
    <n v="15"/>
    <x v="0"/>
    <s v="Yes"/>
    <x v="0"/>
    <s v="Yes"/>
    <n v="20"/>
    <n v="15"/>
    <n v="50"/>
  </r>
  <r>
    <n v="3411"/>
    <s v="Samuel Viana"/>
    <x v="2"/>
    <x v="179"/>
    <x v="1"/>
    <n v="10"/>
    <x v="0"/>
    <s v="No"/>
    <x v="1"/>
    <s v="Yes"/>
    <n v="20"/>
    <n v="5"/>
    <n v="25"/>
  </r>
  <r>
    <n v="3412"/>
    <s v="Tatiane Rocha"/>
    <x v="1"/>
    <x v="180"/>
    <x v="0"/>
    <n v="5"/>
    <x v="1"/>
    <s v="No"/>
    <x v="1"/>
    <s v="No"/>
    <n v="0"/>
    <n v="0"/>
    <n v="5"/>
  </r>
  <r>
    <n v="3413"/>
    <s v="Ulysses Farias"/>
    <x v="0"/>
    <x v="181"/>
    <x v="1"/>
    <n v="15"/>
    <x v="2"/>
    <s v="Yes"/>
    <x v="0"/>
    <s v="Yes"/>
    <n v="20"/>
    <n v="20"/>
    <n v="45"/>
  </r>
  <r>
    <n v="3414"/>
    <s v="Vanessa Moreira"/>
    <x v="2"/>
    <x v="182"/>
    <x v="0"/>
    <n v="10"/>
    <x v="2"/>
    <s v="No"/>
    <x v="1"/>
    <s v="Yes"/>
    <n v="20"/>
    <n v="12"/>
    <n v="18"/>
  </r>
  <r>
    <n v="3415"/>
    <s v="William Carvalho"/>
    <x v="1"/>
    <x v="183"/>
    <x v="1"/>
    <n v="5"/>
    <x v="0"/>
    <s v="No"/>
    <x v="1"/>
    <s v="No"/>
    <n v="0"/>
    <n v="2"/>
    <n v="3"/>
  </r>
  <r>
    <n v="3416"/>
    <s v="Ximena Barros"/>
    <x v="0"/>
    <x v="184"/>
    <x v="0"/>
    <n v="15"/>
    <x v="1"/>
    <s v="Yes"/>
    <x v="0"/>
    <s v="Yes"/>
    <n v="20"/>
    <n v="5"/>
    <n v="60"/>
  </r>
  <r>
    <n v="3417"/>
    <s v="Yara Machado"/>
    <x v="2"/>
    <x v="185"/>
    <x v="1"/>
    <n v="10"/>
    <x v="0"/>
    <s v="No"/>
    <x v="1"/>
    <s v="Yes"/>
    <n v="20"/>
    <n v="10"/>
    <n v="20"/>
  </r>
  <r>
    <n v="3418"/>
    <s v="Zacarias Costa"/>
    <x v="1"/>
    <x v="186"/>
    <x v="0"/>
    <n v="5"/>
    <x v="2"/>
    <s v="No"/>
    <x v="1"/>
    <s v="No"/>
    <n v="0"/>
    <n v="0"/>
    <n v="5"/>
  </r>
  <r>
    <n v="3419"/>
    <s v="André Lopes"/>
    <x v="0"/>
    <x v="187"/>
    <x v="1"/>
    <n v="15"/>
    <x v="0"/>
    <s v="Yes"/>
    <x v="0"/>
    <s v="Yes"/>
    <n v="20"/>
    <n v="3"/>
    <n v="62"/>
  </r>
  <r>
    <n v="3420"/>
    <s v="Beatriz Souza"/>
    <x v="2"/>
    <x v="188"/>
    <x v="0"/>
    <n v="10"/>
    <x v="1"/>
    <s v="No"/>
    <x v="1"/>
    <s v="Yes"/>
    <n v="20"/>
    <n v="15"/>
    <n v="15"/>
  </r>
  <r>
    <n v="3421"/>
    <s v="Caio Pereira"/>
    <x v="1"/>
    <x v="189"/>
    <x v="1"/>
    <n v="5"/>
    <x v="0"/>
    <s v="No"/>
    <x v="1"/>
    <s v="No"/>
    <n v="0"/>
    <n v="1"/>
    <n v="4"/>
  </r>
  <r>
    <n v="3422"/>
    <s v="Daniela Araújo"/>
    <x v="0"/>
    <x v="190"/>
    <x v="0"/>
    <n v="15"/>
    <x v="2"/>
    <s v="Yes"/>
    <x v="0"/>
    <s v="Yes"/>
    <n v="20"/>
    <n v="7"/>
    <n v="58"/>
  </r>
  <r>
    <n v="3423"/>
    <s v="Eduardo Santos"/>
    <x v="2"/>
    <x v="191"/>
    <x v="1"/>
    <n v="10"/>
    <x v="0"/>
    <s v="No"/>
    <x v="1"/>
    <s v="Yes"/>
    <n v="20"/>
    <n v="10"/>
    <n v="20"/>
  </r>
  <r>
    <n v="3424"/>
    <s v="Fernanda Lima"/>
    <x v="1"/>
    <x v="192"/>
    <x v="0"/>
    <n v="5"/>
    <x v="1"/>
    <s v="No"/>
    <x v="1"/>
    <s v="No"/>
    <n v="0"/>
    <n v="0"/>
    <n v="5"/>
  </r>
  <r>
    <n v="3425"/>
    <s v="Gabriel Teixeira"/>
    <x v="0"/>
    <x v="193"/>
    <x v="1"/>
    <n v="15"/>
    <x v="0"/>
    <s v="Yes"/>
    <x v="0"/>
    <s v="Yes"/>
    <n v="20"/>
    <n v="20"/>
    <n v="45"/>
  </r>
  <r>
    <n v="3426"/>
    <s v="Helena Ribeiro"/>
    <x v="2"/>
    <x v="194"/>
    <x v="0"/>
    <n v="10"/>
    <x v="2"/>
    <s v="No"/>
    <x v="1"/>
    <s v="Yes"/>
    <n v="20"/>
    <n v="15"/>
    <n v="15"/>
  </r>
  <r>
    <n v="3427"/>
    <s v="Igor Mendes"/>
    <x v="1"/>
    <x v="195"/>
    <x v="1"/>
    <n v="5"/>
    <x v="0"/>
    <s v="No"/>
    <x v="1"/>
    <s v="No"/>
    <n v="0"/>
    <n v="1"/>
    <n v="4"/>
  </r>
  <r>
    <n v="3428"/>
    <s v="Joana Silveira"/>
    <x v="0"/>
    <x v="196"/>
    <x v="0"/>
    <n v="15"/>
    <x v="1"/>
    <s v="Yes"/>
    <x v="0"/>
    <s v="Yes"/>
    <n v="20"/>
    <n v="3"/>
    <n v="62"/>
  </r>
  <r>
    <n v="3429"/>
    <s v="Lucas Martins"/>
    <x v="2"/>
    <x v="197"/>
    <x v="1"/>
    <n v="10"/>
    <x v="0"/>
    <s v="No"/>
    <x v="1"/>
    <s v="Yes"/>
    <n v="20"/>
    <n v="10"/>
    <n v="20"/>
  </r>
  <r>
    <n v="3430"/>
    <s v="Marcela Gouveia"/>
    <x v="1"/>
    <x v="198"/>
    <x v="0"/>
    <n v="5"/>
    <x v="2"/>
    <s v="No"/>
    <x v="1"/>
    <s v="No"/>
    <n v="0"/>
    <n v="0"/>
    <n v="5"/>
  </r>
  <r>
    <n v="3431"/>
    <s v="Nicolas Borges"/>
    <x v="0"/>
    <x v="199"/>
    <x v="1"/>
    <n v="15"/>
    <x v="0"/>
    <s v="Yes"/>
    <x v="0"/>
    <s v="Yes"/>
    <n v="20"/>
    <n v="15"/>
    <n v="50"/>
  </r>
  <r>
    <n v="3432"/>
    <s v="Olivia Freitas"/>
    <x v="2"/>
    <x v="200"/>
    <x v="0"/>
    <n v="10"/>
    <x v="1"/>
    <s v="No"/>
    <x v="1"/>
    <s v="Yes"/>
    <n v="20"/>
    <n v="15"/>
    <n v="15"/>
  </r>
  <r>
    <n v="3433"/>
    <s v="Paulo Nogueira"/>
    <x v="1"/>
    <x v="201"/>
    <x v="1"/>
    <n v="5"/>
    <x v="0"/>
    <s v="No"/>
    <x v="1"/>
    <s v="No"/>
    <n v="0"/>
    <n v="1"/>
    <n v="4"/>
  </r>
  <r>
    <n v="3434"/>
    <s v="Raquel Andrade"/>
    <x v="0"/>
    <x v="202"/>
    <x v="0"/>
    <n v="15"/>
    <x v="2"/>
    <s v="Yes"/>
    <x v="0"/>
    <s v="Yes"/>
    <n v="20"/>
    <n v="7"/>
    <n v="58"/>
  </r>
  <r>
    <n v="3435"/>
    <s v="Sônia Carvalho"/>
    <x v="2"/>
    <x v="203"/>
    <x v="1"/>
    <n v="10"/>
    <x v="0"/>
    <s v="No"/>
    <x v="1"/>
    <s v="Yes"/>
    <n v="20"/>
    <n v="10"/>
    <n v="20"/>
  </r>
  <r>
    <n v="3436"/>
    <s v="Tiago Rodrigues"/>
    <x v="1"/>
    <x v="204"/>
    <x v="0"/>
    <n v="5"/>
    <x v="0"/>
    <s v="No"/>
    <x v="1"/>
    <s v="No"/>
    <n v="0"/>
    <n v="0"/>
    <n v="5"/>
  </r>
  <r>
    <n v="3437"/>
    <s v="Ursula Monteiro"/>
    <x v="0"/>
    <x v="205"/>
    <x v="1"/>
    <n v="15"/>
    <x v="2"/>
    <s v="Yes"/>
    <x v="0"/>
    <s v="Yes"/>
    <n v="20"/>
    <n v="7"/>
    <n v="58"/>
  </r>
  <r>
    <n v="3438"/>
    <s v="Vanessa Pereira"/>
    <x v="2"/>
    <x v="206"/>
    <x v="0"/>
    <n v="10"/>
    <x v="1"/>
    <s v="No"/>
    <x v="1"/>
    <s v="Yes"/>
    <n v="20"/>
    <n v="10"/>
    <n v="20"/>
  </r>
  <r>
    <n v="3439"/>
    <s v="Walter Silva"/>
    <x v="1"/>
    <x v="207"/>
    <x v="1"/>
    <n v="5"/>
    <x v="2"/>
    <s v="No"/>
    <x v="1"/>
    <s v="No"/>
    <n v="0"/>
    <n v="1"/>
    <n v="4"/>
  </r>
  <r>
    <n v="3440"/>
    <s v="Xavier Almeida"/>
    <x v="0"/>
    <x v="208"/>
    <x v="0"/>
    <n v="15"/>
    <x v="0"/>
    <s v="Yes"/>
    <x v="0"/>
    <s v="Yes"/>
    <n v="20"/>
    <n v="15"/>
    <n v="50"/>
  </r>
  <r>
    <n v="3441"/>
    <s v="Yasmine Correia"/>
    <x v="2"/>
    <x v="209"/>
    <x v="1"/>
    <n v="10"/>
    <x v="0"/>
    <s v="No"/>
    <x v="1"/>
    <s v="Yes"/>
    <n v="20"/>
    <n v="5"/>
    <n v="25"/>
  </r>
  <r>
    <n v="3442"/>
    <s v="Zacarias Almeida"/>
    <x v="1"/>
    <x v="210"/>
    <x v="0"/>
    <n v="5"/>
    <x v="1"/>
    <s v="No"/>
    <x v="1"/>
    <s v="No"/>
    <n v="0"/>
    <n v="0"/>
    <n v="5"/>
  </r>
  <r>
    <n v="3443"/>
    <s v="Amanda Costa"/>
    <x v="0"/>
    <x v="211"/>
    <x v="1"/>
    <n v="15"/>
    <x v="2"/>
    <s v="Yes"/>
    <x v="0"/>
    <s v="Yes"/>
    <n v="20"/>
    <n v="20"/>
    <n v="45"/>
  </r>
  <r>
    <n v="3444"/>
    <s v="Bruno Ferreira"/>
    <x v="2"/>
    <x v="212"/>
    <x v="0"/>
    <n v="10"/>
    <x v="2"/>
    <s v="No"/>
    <x v="1"/>
    <s v="Yes"/>
    <n v="20"/>
    <n v="12"/>
    <n v="18"/>
  </r>
  <r>
    <n v="3445"/>
    <s v="Carla Dias"/>
    <x v="1"/>
    <x v="213"/>
    <x v="1"/>
    <n v="5"/>
    <x v="0"/>
    <s v="No"/>
    <x v="1"/>
    <s v="No"/>
    <n v="0"/>
    <n v="2"/>
    <n v="3"/>
  </r>
  <r>
    <n v="3446"/>
    <s v="Diogo Martins"/>
    <x v="0"/>
    <x v="214"/>
    <x v="0"/>
    <n v="15"/>
    <x v="1"/>
    <s v="Yes"/>
    <x v="0"/>
    <s v="Yes"/>
    <n v="20"/>
    <n v="5"/>
    <n v="60"/>
  </r>
  <r>
    <n v="3447"/>
    <s v="Elisa Campos"/>
    <x v="2"/>
    <x v="215"/>
    <x v="1"/>
    <n v="10"/>
    <x v="0"/>
    <s v="No"/>
    <x v="1"/>
    <s v="Yes"/>
    <n v="20"/>
    <n v="10"/>
    <n v="20"/>
  </r>
  <r>
    <n v="3448"/>
    <s v="Fabiana Lima"/>
    <x v="1"/>
    <x v="216"/>
    <x v="0"/>
    <n v="5"/>
    <x v="2"/>
    <s v="No"/>
    <x v="1"/>
    <s v="No"/>
    <n v="0"/>
    <n v="0"/>
    <n v="5"/>
  </r>
  <r>
    <n v="3449"/>
    <s v="Gabriel Santos"/>
    <x v="0"/>
    <x v="217"/>
    <x v="1"/>
    <n v="15"/>
    <x v="0"/>
    <s v="Yes"/>
    <x v="0"/>
    <s v="Yes"/>
    <n v="20"/>
    <n v="3"/>
    <n v="62"/>
  </r>
  <r>
    <n v="3450"/>
    <s v="Helena Ferreira"/>
    <x v="2"/>
    <x v="218"/>
    <x v="0"/>
    <n v="10"/>
    <x v="1"/>
    <s v="No"/>
    <x v="1"/>
    <s v="Yes"/>
    <n v="20"/>
    <n v="15"/>
    <n v="15"/>
  </r>
  <r>
    <n v="3451"/>
    <s v="Ígor Nunes"/>
    <x v="1"/>
    <x v="219"/>
    <x v="1"/>
    <n v="5"/>
    <x v="0"/>
    <s v="No"/>
    <x v="1"/>
    <s v="No"/>
    <n v="0"/>
    <n v="1"/>
    <n v="4"/>
  </r>
  <r>
    <n v="3452"/>
    <s v="Joana Silveira"/>
    <x v="0"/>
    <x v="220"/>
    <x v="0"/>
    <n v="15"/>
    <x v="2"/>
    <s v="Yes"/>
    <x v="0"/>
    <s v="Yes"/>
    <n v="20"/>
    <n v="7"/>
    <n v="58"/>
  </r>
  <r>
    <n v="3453"/>
    <s v="Kléber Oliveira"/>
    <x v="2"/>
    <x v="221"/>
    <x v="1"/>
    <n v="10"/>
    <x v="0"/>
    <s v="No"/>
    <x v="1"/>
    <s v="Yes"/>
    <n v="20"/>
    <n v="10"/>
    <n v="20"/>
  </r>
  <r>
    <n v="3454"/>
    <s v="Luciana Morais"/>
    <x v="1"/>
    <x v="222"/>
    <x v="0"/>
    <n v="5"/>
    <x v="1"/>
    <s v="No"/>
    <x v="1"/>
    <s v="No"/>
    <n v="0"/>
    <n v="0"/>
    <n v="5"/>
  </r>
  <r>
    <n v="3455"/>
    <s v="Marcos Vinícius"/>
    <x v="0"/>
    <x v="223"/>
    <x v="1"/>
    <n v="15"/>
    <x v="0"/>
    <s v="Yes"/>
    <x v="0"/>
    <s v="Yes"/>
    <n v="20"/>
    <n v="20"/>
    <n v="45"/>
  </r>
  <r>
    <n v="3456"/>
    <s v="Natália Barros"/>
    <x v="2"/>
    <x v="224"/>
    <x v="0"/>
    <n v="10"/>
    <x v="2"/>
    <s v="No"/>
    <x v="1"/>
    <s v="Yes"/>
    <n v="20"/>
    <n v="15"/>
    <n v="15"/>
  </r>
  <r>
    <n v="3457"/>
    <s v="Oscar Sampaio"/>
    <x v="1"/>
    <x v="225"/>
    <x v="1"/>
    <n v="5"/>
    <x v="0"/>
    <s v="No"/>
    <x v="1"/>
    <s v="No"/>
    <n v="0"/>
    <n v="1"/>
    <n v="4"/>
  </r>
  <r>
    <n v="3458"/>
    <s v="Patrícia Leite"/>
    <x v="0"/>
    <x v="226"/>
    <x v="0"/>
    <n v="15"/>
    <x v="1"/>
    <s v="Yes"/>
    <x v="0"/>
    <s v="Yes"/>
    <n v="20"/>
    <n v="3"/>
    <n v="62"/>
  </r>
  <r>
    <n v="3459"/>
    <s v="Quênia Rocha"/>
    <x v="2"/>
    <x v="227"/>
    <x v="1"/>
    <n v="10"/>
    <x v="0"/>
    <s v="No"/>
    <x v="1"/>
    <s v="Yes"/>
    <n v="20"/>
    <n v="10"/>
    <n v="20"/>
  </r>
  <r>
    <n v="3460"/>
    <s v="Rafael Torres"/>
    <x v="1"/>
    <x v="228"/>
    <x v="0"/>
    <n v="5"/>
    <x v="2"/>
    <s v="No"/>
    <x v="1"/>
    <s v="No"/>
    <n v="0"/>
    <n v="0"/>
    <n v="5"/>
  </r>
  <r>
    <n v="3461"/>
    <s v="Sandra Gouveia"/>
    <x v="0"/>
    <x v="229"/>
    <x v="1"/>
    <n v="15"/>
    <x v="0"/>
    <s v="Yes"/>
    <x v="0"/>
    <s v="Yes"/>
    <n v="20"/>
    <n v="15"/>
    <n v="50"/>
  </r>
  <r>
    <n v="3462"/>
    <s v="Tiago Lacerda"/>
    <x v="2"/>
    <x v="230"/>
    <x v="0"/>
    <n v="10"/>
    <x v="1"/>
    <s v="No"/>
    <x v="1"/>
    <s v="Yes"/>
    <n v="20"/>
    <n v="15"/>
    <n v="15"/>
  </r>
  <r>
    <n v="3463"/>
    <s v="Ursula Fonseca"/>
    <x v="1"/>
    <x v="231"/>
    <x v="1"/>
    <n v="5"/>
    <x v="0"/>
    <s v="No"/>
    <x v="1"/>
    <s v="No"/>
    <n v="0"/>
    <n v="1"/>
    <n v="4"/>
  </r>
  <r>
    <n v="3464"/>
    <s v="Vanessa Andrade"/>
    <x v="0"/>
    <x v="232"/>
    <x v="0"/>
    <n v="15"/>
    <x v="2"/>
    <s v="Yes"/>
    <x v="0"/>
    <s v="Yes"/>
    <n v="20"/>
    <n v="7"/>
    <n v="58"/>
  </r>
  <r>
    <n v="3465"/>
    <s v="William Castro"/>
    <x v="2"/>
    <x v="233"/>
    <x v="1"/>
    <n v="10"/>
    <x v="0"/>
    <s v="No"/>
    <x v="1"/>
    <s v="Yes"/>
    <n v="20"/>
    <n v="10"/>
    <n v="20"/>
  </r>
  <r>
    <n v="3466"/>
    <s v="Xavier Monteiro"/>
    <x v="1"/>
    <x v="234"/>
    <x v="0"/>
    <n v="5"/>
    <x v="1"/>
    <s v="No"/>
    <x v="1"/>
    <s v="No"/>
    <n v="0"/>
    <n v="0"/>
    <n v="5"/>
  </r>
  <r>
    <n v="3467"/>
    <s v="Yasmin Figueira"/>
    <x v="0"/>
    <x v="235"/>
    <x v="1"/>
    <n v="15"/>
    <x v="0"/>
    <s v="Yes"/>
    <x v="0"/>
    <s v="Yes"/>
    <n v="20"/>
    <n v="15"/>
    <n v="50"/>
  </r>
  <r>
    <n v="3468"/>
    <s v="Zacarias Mendonça"/>
    <x v="2"/>
    <x v="236"/>
    <x v="0"/>
    <n v="10"/>
    <x v="2"/>
    <s v="No"/>
    <x v="1"/>
    <s v="Yes"/>
    <n v="20"/>
    <n v="12"/>
    <n v="18"/>
  </r>
  <r>
    <n v="3469"/>
    <s v="Amanda Menezes"/>
    <x v="1"/>
    <x v="237"/>
    <x v="1"/>
    <n v="5"/>
    <x v="0"/>
    <s v="No"/>
    <x v="1"/>
    <s v="No"/>
    <n v="0"/>
    <n v="2"/>
    <n v="3"/>
  </r>
  <r>
    <n v="3470"/>
    <s v="Bruno Santos"/>
    <x v="0"/>
    <x v="238"/>
    <x v="0"/>
    <n v="15"/>
    <x v="1"/>
    <s v="Yes"/>
    <x v="0"/>
    <s v="Yes"/>
    <n v="20"/>
    <n v="5"/>
    <n v="60"/>
  </r>
  <r>
    <n v="3471"/>
    <s v="Carla Ferreira"/>
    <x v="2"/>
    <x v="239"/>
    <x v="1"/>
    <n v="10"/>
    <x v="0"/>
    <s v="No"/>
    <x v="1"/>
    <s v="Yes"/>
    <n v="20"/>
    <n v="10"/>
    <n v="20"/>
  </r>
  <r>
    <n v="3472"/>
    <s v="Diogo Alves"/>
    <x v="1"/>
    <x v="240"/>
    <x v="0"/>
    <n v="5"/>
    <x v="2"/>
    <s v="No"/>
    <x v="1"/>
    <s v="No"/>
    <n v="0"/>
    <n v="0"/>
    <n v="5"/>
  </r>
  <r>
    <n v="3473"/>
    <s v="Elisa Neves"/>
    <x v="0"/>
    <x v="241"/>
    <x v="1"/>
    <n v="15"/>
    <x v="0"/>
    <s v="Yes"/>
    <x v="0"/>
    <s v="Yes"/>
    <n v="20"/>
    <n v="3"/>
    <n v="62"/>
  </r>
  <r>
    <n v="3474"/>
    <s v="Fabiano Pires"/>
    <x v="2"/>
    <x v="242"/>
    <x v="0"/>
    <n v="10"/>
    <x v="1"/>
    <s v="No"/>
    <x v="1"/>
    <s v="Yes"/>
    <n v="20"/>
    <n v="15"/>
    <n v="15"/>
  </r>
  <r>
    <n v="3475"/>
    <s v="Giovana Ribeiro"/>
    <x v="1"/>
    <x v="243"/>
    <x v="1"/>
    <n v="5"/>
    <x v="0"/>
    <s v="No"/>
    <x v="1"/>
    <s v="No"/>
    <n v="0"/>
    <n v="1"/>
    <n v="4"/>
  </r>
  <r>
    <n v="3476"/>
    <s v="Hélio Costa"/>
    <x v="0"/>
    <x v="244"/>
    <x v="0"/>
    <n v="15"/>
    <x v="2"/>
    <s v="Yes"/>
    <x v="0"/>
    <s v="Yes"/>
    <n v="20"/>
    <n v="7"/>
    <n v="58"/>
  </r>
  <r>
    <n v="3477"/>
    <s v="Íris Loureiro"/>
    <x v="2"/>
    <x v="245"/>
    <x v="1"/>
    <n v="10"/>
    <x v="0"/>
    <s v="No"/>
    <x v="1"/>
    <s v="Yes"/>
    <n v="20"/>
    <n v="10"/>
    <n v="20"/>
  </r>
  <r>
    <n v="3478"/>
    <s v="João Pereira"/>
    <x v="1"/>
    <x v="246"/>
    <x v="0"/>
    <n v="5"/>
    <x v="1"/>
    <s v="No"/>
    <x v="1"/>
    <s v="No"/>
    <n v="0"/>
    <n v="0"/>
    <n v="5"/>
  </r>
  <r>
    <n v="3479"/>
    <s v="Klara Silva"/>
    <x v="0"/>
    <x v="247"/>
    <x v="1"/>
    <n v="15"/>
    <x v="0"/>
    <s v="Yes"/>
    <x v="0"/>
    <s v="Yes"/>
    <n v="20"/>
    <n v="20"/>
    <n v="45"/>
  </r>
  <r>
    <n v="3480"/>
    <s v="Luciana Barros"/>
    <x v="2"/>
    <x v="248"/>
    <x v="0"/>
    <n v="10"/>
    <x v="2"/>
    <s v="No"/>
    <x v="1"/>
    <s v="Yes"/>
    <n v="20"/>
    <n v="15"/>
    <n v="15"/>
  </r>
  <r>
    <n v="3481"/>
    <s v="Marcos Gomes"/>
    <x v="1"/>
    <x v="249"/>
    <x v="1"/>
    <n v="5"/>
    <x v="0"/>
    <s v="No"/>
    <x v="1"/>
    <s v="No"/>
    <n v="0"/>
    <n v="1"/>
    <n v="4"/>
  </r>
  <r>
    <n v="3482"/>
    <s v="Natália Soares"/>
    <x v="0"/>
    <x v="250"/>
    <x v="0"/>
    <n v="15"/>
    <x v="1"/>
    <s v="Yes"/>
    <x v="0"/>
    <s v="Yes"/>
    <n v="20"/>
    <n v="3"/>
    <n v="62"/>
  </r>
  <r>
    <n v="3483"/>
    <s v="Oscar Machado"/>
    <x v="2"/>
    <x v="251"/>
    <x v="1"/>
    <n v="10"/>
    <x v="0"/>
    <s v="No"/>
    <x v="1"/>
    <s v="Yes"/>
    <n v="20"/>
    <n v="10"/>
    <n v="20"/>
  </r>
  <r>
    <n v="3484"/>
    <s v="Patrícia Lima"/>
    <x v="1"/>
    <x v="252"/>
    <x v="0"/>
    <n v="5"/>
    <x v="2"/>
    <s v="No"/>
    <x v="1"/>
    <s v="No"/>
    <n v="0"/>
    <n v="0"/>
    <n v="5"/>
  </r>
  <r>
    <n v="3485"/>
    <s v="Quirino Neto"/>
    <x v="0"/>
    <x v="253"/>
    <x v="1"/>
    <n v="15"/>
    <x v="0"/>
    <s v="Yes"/>
    <x v="0"/>
    <s v="Yes"/>
    <n v="20"/>
    <n v="15"/>
    <n v="50"/>
  </r>
  <r>
    <n v="3486"/>
    <s v="Rafaela Souza"/>
    <x v="1"/>
    <x v="254"/>
    <x v="0"/>
    <n v="5"/>
    <x v="0"/>
    <s v="No"/>
    <x v="1"/>
    <s v="No"/>
    <n v="0"/>
    <n v="0"/>
    <n v="5"/>
  </r>
  <r>
    <n v="3487"/>
    <s v="Sandro Almeida"/>
    <x v="0"/>
    <x v="255"/>
    <x v="1"/>
    <n v="15"/>
    <x v="2"/>
    <s v="Yes"/>
    <x v="0"/>
    <s v="Yes"/>
    <n v="20"/>
    <n v="7"/>
    <n v="58"/>
  </r>
  <r>
    <n v="3488"/>
    <s v="Tânia Ribeiro"/>
    <x v="2"/>
    <x v="256"/>
    <x v="0"/>
    <n v="10"/>
    <x v="1"/>
    <s v="No"/>
    <x v="1"/>
    <s v="Yes"/>
    <n v="20"/>
    <n v="10"/>
    <n v="20"/>
  </r>
  <r>
    <n v="3489"/>
    <s v="Ugo Dias"/>
    <x v="1"/>
    <x v="257"/>
    <x v="1"/>
    <n v="5"/>
    <x v="2"/>
    <s v="No"/>
    <x v="1"/>
    <s v="No"/>
    <n v="0"/>
    <n v="1"/>
    <n v="4"/>
  </r>
  <r>
    <n v="3490"/>
    <s v="Valéria Lima"/>
    <x v="0"/>
    <x v="258"/>
    <x v="0"/>
    <n v="15"/>
    <x v="0"/>
    <s v="Yes"/>
    <x v="0"/>
    <s v="Yes"/>
    <n v="20"/>
    <n v="15"/>
    <n v="50"/>
  </r>
  <r>
    <n v="3491"/>
    <s v="William Fernandes"/>
    <x v="2"/>
    <x v="259"/>
    <x v="1"/>
    <n v="10"/>
    <x v="0"/>
    <s v="No"/>
    <x v="1"/>
    <s v="Yes"/>
    <n v="20"/>
    <n v="5"/>
    <n v="25"/>
  </r>
  <r>
    <n v="3492"/>
    <s v="Xuxa Mendes"/>
    <x v="1"/>
    <x v="260"/>
    <x v="0"/>
    <n v="5"/>
    <x v="1"/>
    <s v="No"/>
    <x v="1"/>
    <s v="No"/>
    <n v="0"/>
    <n v="0"/>
    <n v="5"/>
  </r>
  <r>
    <n v="3493"/>
    <s v="Ygor Farias"/>
    <x v="0"/>
    <x v="261"/>
    <x v="1"/>
    <n v="15"/>
    <x v="2"/>
    <s v="Yes"/>
    <x v="0"/>
    <s v="Yes"/>
    <n v="20"/>
    <n v="20"/>
    <n v="45"/>
  </r>
  <r>
    <n v="3494"/>
    <s v="Zilda Barros"/>
    <x v="2"/>
    <x v="262"/>
    <x v="0"/>
    <n v="10"/>
    <x v="2"/>
    <s v="No"/>
    <x v="1"/>
    <s v="Yes"/>
    <n v="20"/>
    <n v="12"/>
    <n v="18"/>
  </r>
  <r>
    <n v="3495"/>
    <s v="Amanda Santos"/>
    <x v="1"/>
    <x v="263"/>
    <x v="1"/>
    <n v="5"/>
    <x v="0"/>
    <s v="No"/>
    <x v="1"/>
    <s v="No"/>
    <n v="0"/>
    <n v="2"/>
    <n v="3"/>
  </r>
  <r>
    <n v="3496"/>
    <s v="Bruno Costa"/>
    <x v="0"/>
    <x v="264"/>
    <x v="0"/>
    <n v="15"/>
    <x v="1"/>
    <s v="Yes"/>
    <x v="0"/>
    <s v="Yes"/>
    <n v="20"/>
    <n v="5"/>
    <n v="60"/>
  </r>
  <r>
    <n v="3497"/>
    <s v="Carla Rodrigues"/>
    <x v="2"/>
    <x v="265"/>
    <x v="1"/>
    <n v="10"/>
    <x v="0"/>
    <s v="No"/>
    <x v="1"/>
    <s v="Yes"/>
    <n v="20"/>
    <n v="10"/>
    <n v="20"/>
  </r>
  <r>
    <n v="3498"/>
    <s v="Diogo Pereira"/>
    <x v="1"/>
    <x v="266"/>
    <x v="0"/>
    <n v="5"/>
    <x v="2"/>
    <s v="No"/>
    <x v="1"/>
    <s v="No"/>
    <n v="0"/>
    <n v="0"/>
    <n v="5"/>
  </r>
  <r>
    <n v="3499"/>
    <s v="Elisa Correia"/>
    <x v="0"/>
    <x v="267"/>
    <x v="1"/>
    <n v="15"/>
    <x v="0"/>
    <s v="Yes"/>
    <x v="0"/>
    <s v="Yes"/>
    <n v="20"/>
    <n v="3"/>
    <n v="62"/>
  </r>
  <r>
    <n v="3500"/>
    <s v="Fábio Lourenço"/>
    <x v="2"/>
    <x v="268"/>
    <x v="0"/>
    <n v="10"/>
    <x v="1"/>
    <s v="No"/>
    <x v="1"/>
    <s v="Yes"/>
    <n v="20"/>
    <n v="15"/>
    <n v="15"/>
  </r>
  <r>
    <n v="3501"/>
    <s v="Gabriela Neves"/>
    <x v="1"/>
    <x v="269"/>
    <x v="1"/>
    <n v="5"/>
    <x v="0"/>
    <s v="No"/>
    <x v="1"/>
    <s v="No"/>
    <n v="0"/>
    <n v="1"/>
    <n v="4"/>
  </r>
  <r>
    <n v="3502"/>
    <s v="Henrique Gonçalves"/>
    <x v="0"/>
    <x v="270"/>
    <x v="0"/>
    <n v="15"/>
    <x v="2"/>
    <s v="Yes"/>
    <x v="0"/>
    <s v="Yes"/>
    <n v="20"/>
    <n v="7"/>
    <n v="58"/>
  </r>
  <r>
    <n v="3503"/>
    <s v="Íris Santos"/>
    <x v="2"/>
    <x v="271"/>
    <x v="1"/>
    <n v="10"/>
    <x v="0"/>
    <s v="No"/>
    <x v="1"/>
    <s v="Yes"/>
    <n v="20"/>
    <n v="10"/>
    <n v="20"/>
  </r>
  <r>
    <n v="3504"/>
    <s v="João Marcelo Alves"/>
    <x v="1"/>
    <x v="272"/>
    <x v="0"/>
    <n v="5"/>
    <x v="1"/>
    <s v="No"/>
    <x v="1"/>
    <s v="No"/>
    <n v="0"/>
    <n v="0"/>
    <n v="5"/>
  </r>
  <r>
    <n v="3505"/>
    <s v="Klara Fonseca"/>
    <x v="0"/>
    <x v="273"/>
    <x v="1"/>
    <n v="15"/>
    <x v="0"/>
    <s v="Yes"/>
    <x v="0"/>
    <s v="Yes"/>
    <n v="20"/>
    <n v="20"/>
    <n v="45"/>
  </r>
  <r>
    <n v="3506"/>
    <s v="Lucas Mendonça"/>
    <x v="2"/>
    <x v="274"/>
    <x v="0"/>
    <n v="10"/>
    <x v="2"/>
    <s v="No"/>
    <x v="1"/>
    <s v="Yes"/>
    <n v="20"/>
    <n v="15"/>
    <n v="15"/>
  </r>
  <r>
    <n v="3507"/>
    <s v="Marcela Torres"/>
    <x v="1"/>
    <x v="275"/>
    <x v="1"/>
    <n v="5"/>
    <x v="0"/>
    <s v="No"/>
    <x v="1"/>
    <s v="No"/>
    <n v="0"/>
    <n v="1"/>
    <n v="4"/>
  </r>
  <r>
    <n v="3508"/>
    <s v="Natália Castro"/>
    <x v="0"/>
    <x v="276"/>
    <x v="0"/>
    <n v="15"/>
    <x v="1"/>
    <s v="Yes"/>
    <x v="0"/>
    <s v="Yes"/>
    <n v="20"/>
    <n v="3"/>
    <n v="62"/>
  </r>
  <r>
    <n v="3509"/>
    <s v="Oscar Martins"/>
    <x v="2"/>
    <x v="277"/>
    <x v="1"/>
    <n v="10"/>
    <x v="0"/>
    <s v="No"/>
    <x v="1"/>
    <s v="Yes"/>
    <n v="20"/>
    <n v="10"/>
    <n v="20"/>
  </r>
  <r>
    <n v="3510"/>
    <s v="Patrícia Oliveira"/>
    <x v="1"/>
    <x v="278"/>
    <x v="0"/>
    <n v="5"/>
    <x v="2"/>
    <s v="No"/>
    <x v="1"/>
    <s v="No"/>
    <n v="0"/>
    <n v="0"/>
    <n v="5"/>
  </r>
  <r>
    <n v="3511"/>
    <s v="Quentin Nogueira"/>
    <x v="0"/>
    <x v="279"/>
    <x v="1"/>
    <n v="15"/>
    <x v="0"/>
    <s v="Yes"/>
    <x v="0"/>
    <s v="Yes"/>
    <n v="20"/>
    <n v="15"/>
    <n v="50"/>
  </r>
  <r>
    <n v="3512"/>
    <s v="Raquel Silva"/>
    <x v="2"/>
    <x v="280"/>
    <x v="0"/>
    <n v="10"/>
    <x v="1"/>
    <s v="No"/>
    <x v="1"/>
    <s v="Yes"/>
    <n v="20"/>
    <n v="15"/>
    <n v="15"/>
  </r>
  <r>
    <n v="3513"/>
    <s v="Sandro Gomes"/>
    <x v="1"/>
    <x v="281"/>
    <x v="1"/>
    <n v="5"/>
    <x v="0"/>
    <s v="No"/>
    <x v="1"/>
    <s v="No"/>
    <n v="0"/>
    <n v="1"/>
    <n v="4"/>
  </r>
  <r>
    <n v="3514"/>
    <s v="Tânia Machado"/>
    <x v="0"/>
    <x v="282"/>
    <x v="0"/>
    <n v="15"/>
    <x v="2"/>
    <s v="Yes"/>
    <x v="0"/>
    <s v="Yes"/>
    <n v="20"/>
    <n v="7"/>
    <n v="58"/>
  </r>
  <r>
    <n v="3515"/>
    <s v="Ursula Silva"/>
    <x v="2"/>
    <x v="283"/>
    <x v="1"/>
    <n v="10"/>
    <x v="0"/>
    <s v="No"/>
    <x v="1"/>
    <s v="Yes"/>
    <n v="20"/>
    <n v="10"/>
    <n v="20"/>
  </r>
  <r>
    <n v="3516"/>
    <s v="Vanessa Moraes"/>
    <x v="1"/>
    <x v="284"/>
    <x v="0"/>
    <n v="5"/>
    <x v="1"/>
    <s v="No"/>
    <x v="1"/>
    <s v="No"/>
    <n v="0"/>
    <n v="0"/>
    <n v="5"/>
  </r>
  <r>
    <n v="3517"/>
    <s v="William Carvalho"/>
    <x v="0"/>
    <x v="285"/>
    <x v="1"/>
    <n v="15"/>
    <x v="0"/>
    <s v="Yes"/>
    <x v="0"/>
    <s v="Yes"/>
    <n v="20"/>
    <n v="20"/>
    <n v="45"/>
  </r>
  <r>
    <n v="3518"/>
    <s v="Xavier Reis"/>
    <x v="2"/>
    <x v="286"/>
    <x v="0"/>
    <n v="10"/>
    <x v="2"/>
    <s v="No"/>
    <x v="1"/>
    <s v="Yes"/>
    <n v="20"/>
    <n v="12"/>
    <n v="18"/>
  </r>
  <r>
    <n v="3519"/>
    <s v="Yasmin Rocha"/>
    <x v="1"/>
    <x v="287"/>
    <x v="1"/>
    <n v="5"/>
    <x v="0"/>
    <s v="No"/>
    <x v="1"/>
    <s v="No"/>
    <n v="0"/>
    <n v="2"/>
    <n v="3"/>
  </r>
  <r>
    <n v="3520"/>
    <s v="Zacarias Duarte"/>
    <x v="0"/>
    <x v="288"/>
    <x v="0"/>
    <n v="15"/>
    <x v="1"/>
    <s v="Yes"/>
    <x v="0"/>
    <s v="Yes"/>
    <n v="20"/>
    <n v="5"/>
    <n v="60"/>
  </r>
  <r>
    <n v="3521"/>
    <s v="Amanda Freitas"/>
    <x v="2"/>
    <x v="289"/>
    <x v="1"/>
    <n v="10"/>
    <x v="0"/>
    <s v="No"/>
    <x v="1"/>
    <s v="Yes"/>
    <n v="20"/>
    <n v="10"/>
    <n v="20"/>
  </r>
  <r>
    <n v="3522"/>
    <s v="Bruno Almeida"/>
    <x v="1"/>
    <x v="290"/>
    <x v="0"/>
    <n v="5"/>
    <x v="2"/>
    <s v="No"/>
    <x v="1"/>
    <s v="No"/>
    <n v="0"/>
    <n v="0"/>
    <n v="5"/>
  </r>
  <r>
    <n v="3523"/>
    <s v="Carla Siqueira"/>
    <x v="0"/>
    <x v="291"/>
    <x v="1"/>
    <n v="15"/>
    <x v="0"/>
    <s v="Yes"/>
    <x v="0"/>
    <s v="Yes"/>
    <n v="20"/>
    <n v="3"/>
    <n v="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806C36-A740-49FC-AB40-E8A59E4587A8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24:D28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3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showAll="0"/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 numFmtId="164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5D2DBF-C330-4086-8F58-C3BEFD1680CF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1">
  <location ref="C16:D19" firstHeaderRow="1" firstDataRow="1" firstDataCol="1" rowPageCount="1" colPageCount="1"/>
  <pivotFields count="15">
    <pivotField showAll="0"/>
    <pivotField showAll="0"/>
    <pivotField showAll="0"/>
    <pivotField showAll="0">
      <items count="293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4" baseItem="0" numFmtId="164"/>
  </dataFields>
  <chartFormats count="3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812307-9091-4D92-BF23-6DBC29E42D20}" name="Tabela dinâ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3">
  <location ref="G23:H35" firstHeaderRow="1" firstDataRow="1" firstDataCol="1"/>
  <pivotFields count="15">
    <pivotField dataField="1" showAll="0"/>
    <pivotField showAll="0"/>
    <pivotField showAll="0"/>
    <pivotField numFmtId="14" showAll="0">
      <items count="293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showAll="0"/>
    <pivotField numFmtId="44" showAll="0"/>
    <pivotField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12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ntagem de Subscriber ID" fld="0" subtotal="count" baseField="0" baseItem="0"/>
  </dataFields>
  <chartFormats count="14">
    <chartFormat chart="33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3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3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33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33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33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33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7"/>
          </reference>
        </references>
      </pivotArea>
    </chartFormat>
    <chartFormat chart="33" format="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8"/>
          </reference>
        </references>
      </pivotArea>
    </chartFormat>
    <chartFormat chart="33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9"/>
          </reference>
        </references>
      </pivotArea>
    </chartFormat>
    <chartFormat chart="33" format="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0"/>
          </reference>
        </references>
      </pivotArea>
    </chartFormat>
    <chartFormat chart="33" format="1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1"/>
          </reference>
        </references>
      </pivotArea>
    </chartFormat>
    <chartFormat chart="33" format="1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2"/>
          </reference>
        </references>
      </pivotArea>
    </chartFormat>
    <chartFormat chart="3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76DEE2-DD4D-4060-9546-FB82D46EBE1B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16:H20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3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showAll="0"/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2" baseItem="0" numFmtId="7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F593B166-45E0-492D-A48C-EB034FAE9BE1}" sourceName="Subscription Type">
  <pivotTables>
    <pivotTable tabId="3" name="Tabela dinâmica1"/>
    <pivotTable tabId="3" name="Tabela dinâmica2"/>
    <pivotTable tabId="3" name="Tabela dinâmica3"/>
    <pivotTable tabId="3" name="Tabela dinâmica7"/>
  </pivotTables>
  <data>
    <tabular pivotCacheId="208928781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31F67EC0-1468-42D6-8588-1E759A3709B9}" cache="SegmentaçãodeDados_Subscription_Type" caption="Subscription Type" style="SlicerStyleLight3 2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6" sqref="B6"/>
    </sheetView>
  </sheetViews>
  <sheetFormatPr defaultRowHeight="14.5" x14ac:dyDescent="0.35"/>
  <cols>
    <col min="9" max="9" width="3.54296875" customWidth="1"/>
  </cols>
  <sheetData>
    <row r="3" spans="2:16" ht="20" thickBot="1" x14ac:dyDescent="0.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5"/>
    <row r="5" spans="2:16" x14ac:dyDescent="0.35">
      <c r="B5" s="3" t="s">
        <v>2</v>
      </c>
      <c r="C5" t="s">
        <v>8</v>
      </c>
      <c r="E5" s="7" t="s">
        <v>6</v>
      </c>
      <c r="F5" t="s">
        <v>7</v>
      </c>
    </row>
    <row r="6" spans="2:16" x14ac:dyDescent="0.35">
      <c r="B6" s="4" t="s">
        <v>3</v>
      </c>
      <c r="C6" t="s">
        <v>8</v>
      </c>
    </row>
    <row r="7" spans="2:16" x14ac:dyDescent="0.35">
      <c r="B7" s="5" t="s">
        <v>4</v>
      </c>
      <c r="C7" t="s">
        <v>9</v>
      </c>
    </row>
    <row r="8" spans="2:16" x14ac:dyDescent="0.35">
      <c r="B8" s="6" t="s">
        <v>5</v>
      </c>
      <c r="C8" t="s">
        <v>9</v>
      </c>
    </row>
    <row r="12" spans="2:16" ht="20" thickBot="1" x14ac:dyDescent="0.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5">
      <c r="B13" s="2"/>
      <c r="C13" s="2"/>
      <c r="D13" s="2"/>
      <c r="E13" s="2"/>
      <c r="F13" s="2"/>
      <c r="G13" s="2"/>
      <c r="H13" s="2"/>
    </row>
    <row r="14" spans="2:16" x14ac:dyDescent="0.35">
      <c r="B14" s="2"/>
      <c r="C14" s="2"/>
      <c r="D14" s="2"/>
      <c r="E14" s="2"/>
      <c r="F14" s="2"/>
      <c r="G14" s="2"/>
      <c r="H14" s="2"/>
    </row>
    <row r="15" spans="2:16" x14ac:dyDescent="0.35">
      <c r="B15" s="2"/>
      <c r="C15" s="2"/>
      <c r="D15" s="2"/>
      <c r="E15" s="2"/>
      <c r="F15" s="2"/>
      <c r="G15" s="2"/>
      <c r="H15" s="2"/>
    </row>
    <row r="16" spans="2:16" x14ac:dyDescent="0.35">
      <c r="B16" s="2"/>
      <c r="C16" s="2"/>
      <c r="D16" s="2"/>
      <c r="E16" s="2"/>
      <c r="F16" s="2"/>
      <c r="G16" s="2"/>
      <c r="H16" s="2"/>
    </row>
    <row r="17" spans="2:8" x14ac:dyDescent="0.35">
      <c r="B17" s="2"/>
      <c r="C17" s="2"/>
      <c r="D17" s="2"/>
      <c r="E17" s="2"/>
      <c r="F17" s="2"/>
      <c r="G17" s="2"/>
      <c r="H17" s="2"/>
    </row>
    <row r="18" spans="2:8" x14ac:dyDescent="0.35">
      <c r="B18" s="2"/>
      <c r="C18" s="2"/>
      <c r="D18" s="2"/>
      <c r="E18" s="2"/>
      <c r="F18" s="2"/>
      <c r="G18" s="2"/>
      <c r="H18" s="2"/>
    </row>
    <row r="19" spans="2:8" x14ac:dyDescent="0.35">
      <c r="B19" s="2"/>
      <c r="C19" s="2"/>
      <c r="D19" s="2"/>
      <c r="E19" s="2"/>
      <c r="F19" s="2"/>
      <c r="G19" s="2"/>
      <c r="H19" s="2"/>
    </row>
    <row r="20" spans="2:8" x14ac:dyDescent="0.35">
      <c r="B20" s="2"/>
      <c r="C20" s="2"/>
      <c r="D20" s="2"/>
      <c r="E20" s="2"/>
      <c r="F20" s="2"/>
      <c r="G20" s="2"/>
      <c r="H20" s="2"/>
    </row>
    <row r="21" spans="2:8" x14ac:dyDescent="0.3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D1" sqref="D1"/>
    </sheetView>
  </sheetViews>
  <sheetFormatPr defaultRowHeight="14.5" x14ac:dyDescent="0.35"/>
  <cols>
    <col min="1" max="2" width="17.453125" bestFit="1" customWidth="1"/>
    <col min="3" max="3" width="9.7265625" bestFit="1" customWidth="1"/>
    <col min="4" max="4" width="14.36328125" bestFit="1" customWidth="1"/>
    <col min="5" max="5" width="17.36328125" bestFit="1" customWidth="1"/>
    <col min="6" max="6" width="16.7265625" bestFit="1" customWidth="1"/>
    <col min="7" max="7" width="21.1796875" bestFit="1" customWidth="1"/>
    <col min="8" max="9" width="23.08984375" bestFit="1" customWidth="1"/>
    <col min="10" max="10" width="20.7265625" bestFit="1" customWidth="1"/>
    <col min="11" max="11" width="25.1796875" bestFit="1" customWidth="1"/>
    <col min="12" max="12" width="17.7265625" bestFit="1" customWidth="1"/>
    <col min="13" max="13" width="15.1796875" bestFit="1" customWidth="1"/>
  </cols>
  <sheetData>
    <row r="1" spans="1:13" ht="29" x14ac:dyDescent="0.3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I35"/>
  <sheetViews>
    <sheetView showGridLines="0" workbookViewId="0">
      <selection activeCell="C10" sqref="C10"/>
    </sheetView>
  </sheetViews>
  <sheetFormatPr defaultRowHeight="14.5" x14ac:dyDescent="0.35"/>
  <cols>
    <col min="3" max="3" width="17" bestFit="1" customWidth="1"/>
    <col min="4" max="4" width="25.453125" bestFit="1" customWidth="1"/>
    <col min="5" max="5" width="10" customWidth="1"/>
    <col min="6" max="6" width="8.54296875" bestFit="1" customWidth="1"/>
    <col min="7" max="7" width="17" bestFit="1" customWidth="1"/>
    <col min="8" max="8" width="23.7265625" bestFit="1" customWidth="1"/>
    <col min="9" max="9" width="3.36328125" bestFit="1" customWidth="1"/>
    <col min="10" max="10" width="4.08984375" bestFit="1" customWidth="1"/>
    <col min="11" max="11" width="3.54296875" bestFit="1" customWidth="1"/>
    <col min="12" max="12" width="4" bestFit="1" customWidth="1"/>
    <col min="13" max="13" width="3.54296875" bestFit="1" customWidth="1"/>
    <col min="14" max="14" width="3" bestFit="1" customWidth="1"/>
    <col min="15" max="15" width="3.7265625" bestFit="1" customWidth="1"/>
    <col min="16" max="16" width="3.36328125" bestFit="1" customWidth="1"/>
    <col min="17" max="17" width="3.54296875" bestFit="1" customWidth="1"/>
    <col min="18" max="18" width="3.81640625" bestFit="1" customWidth="1"/>
    <col min="19" max="19" width="3.7265625" bestFit="1" customWidth="1"/>
    <col min="20" max="20" width="9.7265625" bestFit="1" customWidth="1"/>
    <col min="21" max="21" width="5.453125" bestFit="1" customWidth="1"/>
    <col min="22" max="22" width="9.7265625" bestFit="1" customWidth="1"/>
    <col min="23" max="301" width="10.26953125" bestFit="1" customWidth="1"/>
    <col min="302" max="302" width="9.7265625" bestFit="1" customWidth="1"/>
  </cols>
  <sheetData>
    <row r="2" spans="2:9" x14ac:dyDescent="0.35">
      <c r="B2" s="13" t="s">
        <v>313</v>
      </c>
      <c r="C2" s="13"/>
      <c r="D2" s="13"/>
      <c r="E2" s="13"/>
      <c r="F2" s="13"/>
      <c r="G2" s="12"/>
      <c r="H2" s="12"/>
      <c r="I2" s="12"/>
    </row>
    <row r="4" spans="2:9" x14ac:dyDescent="0.35">
      <c r="B4" s="19" t="s">
        <v>314</v>
      </c>
    </row>
    <row r="6" spans="2:9" x14ac:dyDescent="0.35">
      <c r="B6">
        <v>1</v>
      </c>
      <c r="C6" t="s">
        <v>315</v>
      </c>
    </row>
    <row r="7" spans="2:9" x14ac:dyDescent="0.35">
      <c r="B7">
        <v>2</v>
      </c>
      <c r="C7" t="s">
        <v>316</v>
      </c>
    </row>
    <row r="8" spans="2:9" x14ac:dyDescent="0.35">
      <c r="B8">
        <v>3</v>
      </c>
      <c r="C8" t="s">
        <v>317</v>
      </c>
    </row>
    <row r="9" spans="2:9" x14ac:dyDescent="0.35">
      <c r="B9">
        <v>4</v>
      </c>
      <c r="C9" t="s">
        <v>318</v>
      </c>
    </row>
    <row r="10" spans="2:9" x14ac:dyDescent="0.35">
      <c r="B10">
        <v>5</v>
      </c>
      <c r="C10" t="s">
        <v>319</v>
      </c>
    </row>
    <row r="12" spans="2:9" x14ac:dyDescent="0.35">
      <c r="B12" s="19" t="s">
        <v>325</v>
      </c>
    </row>
    <row r="14" spans="2:9" x14ac:dyDescent="0.35">
      <c r="B14" t="s">
        <v>323</v>
      </c>
      <c r="C14" s="16" t="s">
        <v>16</v>
      </c>
      <c r="D14" t="s">
        <v>24</v>
      </c>
      <c r="F14" s="17">
        <v>4</v>
      </c>
      <c r="G14" s="16" t="s">
        <v>16</v>
      </c>
      <c r="H14" t="s">
        <v>24</v>
      </c>
    </row>
    <row r="16" spans="2:9" x14ac:dyDescent="0.35">
      <c r="C16" s="16" t="s">
        <v>322</v>
      </c>
      <c r="D16" t="s">
        <v>320</v>
      </c>
      <c r="G16" s="16" t="s">
        <v>322</v>
      </c>
      <c r="H16" t="s">
        <v>326</v>
      </c>
    </row>
    <row r="17" spans="2:8" x14ac:dyDescent="0.35">
      <c r="C17" s="17" t="s">
        <v>23</v>
      </c>
      <c r="D17" s="18">
        <v>217</v>
      </c>
      <c r="G17" s="17" t="s">
        <v>22</v>
      </c>
      <c r="H17" s="20">
        <v>0</v>
      </c>
    </row>
    <row r="18" spans="2:8" x14ac:dyDescent="0.35">
      <c r="C18" s="17" t="s">
        <v>19</v>
      </c>
      <c r="D18" s="18">
        <v>1522</v>
      </c>
      <c r="G18" s="17" t="s">
        <v>26</v>
      </c>
      <c r="H18" s="20">
        <v>520</v>
      </c>
    </row>
    <row r="19" spans="2:8" x14ac:dyDescent="0.35">
      <c r="C19" s="17" t="s">
        <v>321</v>
      </c>
      <c r="D19" s="18">
        <v>1739</v>
      </c>
      <c r="G19" s="17" t="s">
        <v>18</v>
      </c>
      <c r="H19" s="20">
        <v>400</v>
      </c>
    </row>
    <row r="20" spans="2:8" x14ac:dyDescent="0.35">
      <c r="C20" s="17"/>
      <c r="D20" s="18"/>
      <c r="G20" s="17" t="s">
        <v>321</v>
      </c>
      <c r="H20" s="20">
        <v>920</v>
      </c>
    </row>
    <row r="21" spans="2:8" x14ac:dyDescent="0.35">
      <c r="C21" s="17"/>
      <c r="D21" s="18"/>
      <c r="H21" s="21">
        <f>GETPIVOTDATA("Minecraft Season Pass Price",$G$16)</f>
        <v>920</v>
      </c>
    </row>
    <row r="22" spans="2:8" x14ac:dyDescent="0.35">
      <c r="B22" s="17">
        <v>3</v>
      </c>
      <c r="C22" s="16" t="s">
        <v>16</v>
      </c>
      <c r="D22" t="s">
        <v>24</v>
      </c>
      <c r="F22" s="17"/>
    </row>
    <row r="23" spans="2:8" x14ac:dyDescent="0.35">
      <c r="F23" s="17">
        <v>5</v>
      </c>
      <c r="G23" s="16" t="s">
        <v>322</v>
      </c>
      <c r="H23" t="s">
        <v>327</v>
      </c>
    </row>
    <row r="24" spans="2:8" x14ac:dyDescent="0.35">
      <c r="B24" s="17"/>
      <c r="C24" s="16" t="s">
        <v>322</v>
      </c>
      <c r="D24" t="s">
        <v>324</v>
      </c>
      <c r="G24" s="17" t="s">
        <v>328</v>
      </c>
      <c r="H24" s="22">
        <v>1</v>
      </c>
    </row>
    <row r="25" spans="2:8" x14ac:dyDescent="0.35">
      <c r="C25" s="17" t="s">
        <v>22</v>
      </c>
      <c r="D25" s="18">
        <v>0</v>
      </c>
      <c r="G25" s="17" t="s">
        <v>329</v>
      </c>
      <c r="H25" s="22">
        <v>7</v>
      </c>
    </row>
    <row r="26" spans="2:8" x14ac:dyDescent="0.35">
      <c r="C26" s="17" t="s">
        <v>26</v>
      </c>
      <c r="D26" s="18">
        <v>0</v>
      </c>
      <c r="G26" s="17" t="s">
        <v>330</v>
      </c>
      <c r="H26" s="22">
        <v>7</v>
      </c>
    </row>
    <row r="27" spans="2:8" x14ac:dyDescent="0.35">
      <c r="C27" s="17" t="s">
        <v>18</v>
      </c>
      <c r="D27" s="18">
        <v>600</v>
      </c>
      <c r="G27" s="17" t="s">
        <v>331</v>
      </c>
      <c r="H27" s="22">
        <v>8</v>
      </c>
    </row>
    <row r="28" spans="2:8" x14ac:dyDescent="0.35">
      <c r="C28" s="17" t="s">
        <v>321</v>
      </c>
      <c r="D28" s="18">
        <v>600</v>
      </c>
      <c r="G28" s="17" t="s">
        <v>332</v>
      </c>
      <c r="H28" s="22">
        <v>7</v>
      </c>
    </row>
    <row r="29" spans="2:8" x14ac:dyDescent="0.35">
      <c r="D29" s="21">
        <f>GETPIVOTDATA("EA Play Season Pass
Price",$C$24)</f>
        <v>600</v>
      </c>
      <c r="G29" s="17" t="s">
        <v>333</v>
      </c>
      <c r="H29" s="22">
        <v>7</v>
      </c>
    </row>
    <row r="30" spans="2:8" x14ac:dyDescent="0.35">
      <c r="G30" s="17" t="s">
        <v>334</v>
      </c>
      <c r="H30" s="22">
        <v>8</v>
      </c>
    </row>
    <row r="31" spans="2:8" x14ac:dyDescent="0.35">
      <c r="G31" s="17" t="s">
        <v>335</v>
      </c>
      <c r="H31" s="22">
        <v>7</v>
      </c>
    </row>
    <row r="32" spans="2:8" x14ac:dyDescent="0.35">
      <c r="G32" s="17" t="s">
        <v>336</v>
      </c>
      <c r="H32" s="22">
        <v>8</v>
      </c>
    </row>
    <row r="33" spans="7:8" x14ac:dyDescent="0.35">
      <c r="G33" s="17" t="s">
        <v>337</v>
      </c>
      <c r="H33" s="22">
        <v>7</v>
      </c>
    </row>
    <row r="34" spans="7:8" x14ac:dyDescent="0.35">
      <c r="G34" s="17" t="s">
        <v>338</v>
      </c>
      <c r="H34" s="22">
        <v>3</v>
      </c>
    </row>
    <row r="35" spans="7:8" x14ac:dyDescent="0.35">
      <c r="G35" s="17" t="s">
        <v>321</v>
      </c>
      <c r="H35" s="22">
        <v>70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C5"/>
  <sheetViews>
    <sheetView showGridLines="0" showRowColHeaders="0" tabSelected="1" zoomScale="70" zoomScaleNormal="70" workbookViewId="0">
      <selection activeCell="D10" sqref="D10"/>
    </sheetView>
  </sheetViews>
  <sheetFormatPr defaultRowHeight="14.5" x14ac:dyDescent="0.35"/>
  <cols>
    <col min="1" max="1" width="39.90625" style="4" customWidth="1"/>
    <col min="2" max="2" width="3.54296875" style="7" customWidth="1"/>
    <col min="3" max="11" width="8.7265625" style="7"/>
    <col min="12" max="12" width="6.54296875" style="7" customWidth="1"/>
    <col min="13" max="16384" width="8.7265625" style="7"/>
  </cols>
  <sheetData>
    <row r="1" spans="1:29" customFormat="1" x14ac:dyDescent="0.35">
      <c r="A1" s="4"/>
      <c r="B1" s="14"/>
    </row>
    <row r="2" spans="1:29" customFormat="1" ht="39" customHeight="1" thickBot="1" x14ac:dyDescent="0.4">
      <c r="A2" s="4"/>
      <c r="B2" s="14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</row>
    <row r="3" spans="1:29" s="14" customFormat="1" ht="34.5" customHeight="1" x14ac:dyDescent="0.35">
      <c r="A3" s="4"/>
    </row>
    <row r="4" spans="1:29" ht="7.5" customHeight="1" x14ac:dyDescent="0.35"/>
    <row r="5" spans="1:29" ht="33" customHeight="1" x14ac:dyDescent="0.35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Louisielli Halana</cp:lastModifiedBy>
  <dcterms:created xsi:type="dcterms:W3CDTF">2024-12-19T13:13:10Z</dcterms:created>
  <dcterms:modified xsi:type="dcterms:W3CDTF">2025-11-18T01:01:22Z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